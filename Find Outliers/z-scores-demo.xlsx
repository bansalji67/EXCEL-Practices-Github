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Formulas\"/>
    </mc:Choice>
  </mc:AlternateContent>
  <xr:revisionPtr revIDLastSave="0" documentId="13_ncr:1_{12679E5E-9999-4DE4-AFFC-FB5049D60DE5}" xr6:coauthVersionLast="47" xr6:coauthVersionMax="47" xr10:uidLastSave="{00000000-0000-0000-0000-000000000000}"/>
  <bookViews>
    <workbookView xWindow="-28920" yWindow="8115" windowWidth="29040" windowHeight="15840" xr2:uid="{26D4546B-D2A1-4444-8EAF-A6228F96F0C1}"/>
  </bookViews>
  <sheets>
    <sheet name="Out there" sheetId="1" r:id="rId1"/>
  </sheets>
  <definedNames>
    <definedName name="_xlnm._FilterDatabase" localSheetId="0" hidden="1">'Out there'!$C$6:$K$229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7" i="1" a="1"/>
  <c r="L7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7" i="1" a="1"/>
  <c r="I7" i="1" s="1"/>
  <c r="H20" i="1"/>
  <c r="H21" i="1"/>
  <c r="H22" i="1"/>
  <c r="H23" i="1"/>
  <c r="J23" i="1" s="1"/>
  <c r="K23" i="1" s="1"/>
  <c r="H24" i="1"/>
  <c r="J24" i="1" s="1"/>
  <c r="K24" i="1" s="1"/>
  <c r="H25" i="1"/>
  <c r="H26" i="1"/>
  <c r="J26" i="1" s="1"/>
  <c r="K26" i="1" s="1"/>
  <c r="H27" i="1"/>
  <c r="H28" i="1"/>
  <c r="J28" i="1" s="1"/>
  <c r="K28" i="1" s="1"/>
  <c r="H29" i="1"/>
  <c r="J29" i="1" s="1"/>
  <c r="K29" i="1" s="1"/>
  <c r="H30" i="1"/>
  <c r="H31" i="1"/>
  <c r="J31" i="1" s="1"/>
  <c r="K31" i="1" s="1"/>
  <c r="H32" i="1"/>
  <c r="J32" i="1" s="1"/>
  <c r="K32" i="1" s="1"/>
  <c r="H33" i="1"/>
  <c r="H34" i="1"/>
  <c r="H35" i="1"/>
  <c r="J35" i="1" s="1"/>
  <c r="K35" i="1" s="1"/>
  <c r="H36" i="1"/>
  <c r="H37" i="1"/>
  <c r="J37" i="1" s="1"/>
  <c r="K37" i="1" s="1"/>
  <c r="H38" i="1"/>
  <c r="H39" i="1"/>
  <c r="H40" i="1"/>
  <c r="H41" i="1"/>
  <c r="J41" i="1" s="1"/>
  <c r="K41" i="1" s="1"/>
  <c r="H42" i="1"/>
  <c r="J42" i="1" s="1"/>
  <c r="K42" i="1" s="1"/>
  <c r="H43" i="1"/>
  <c r="H44" i="1"/>
  <c r="J44" i="1" s="1"/>
  <c r="K44" i="1" s="1"/>
  <c r="H45" i="1"/>
  <c r="H46" i="1"/>
  <c r="H47" i="1"/>
  <c r="H48" i="1"/>
  <c r="H49" i="1"/>
  <c r="J49" i="1" s="1"/>
  <c r="K49" i="1" s="1"/>
  <c r="H50" i="1"/>
  <c r="J50" i="1" s="1"/>
  <c r="K50" i="1" s="1"/>
  <c r="H51" i="1"/>
  <c r="H52" i="1"/>
  <c r="H53" i="1"/>
  <c r="J53" i="1" s="1"/>
  <c r="K53" i="1" s="1"/>
  <c r="H54" i="1"/>
  <c r="H55" i="1"/>
  <c r="J55" i="1" s="1"/>
  <c r="K55" i="1" s="1"/>
  <c r="H56" i="1"/>
  <c r="H57" i="1"/>
  <c r="H58" i="1"/>
  <c r="H59" i="1"/>
  <c r="J59" i="1" s="1"/>
  <c r="K59" i="1" s="1"/>
  <c r="H60" i="1"/>
  <c r="J60" i="1" s="1"/>
  <c r="K60" i="1" s="1"/>
  <c r="H61" i="1"/>
  <c r="H62" i="1"/>
  <c r="J62" i="1" s="1"/>
  <c r="K62" i="1" s="1"/>
  <c r="H63" i="1"/>
  <c r="H64" i="1"/>
  <c r="J64" i="1" s="1"/>
  <c r="K64" i="1" s="1"/>
  <c r="H65" i="1"/>
  <c r="H66" i="1"/>
  <c r="H67" i="1"/>
  <c r="J67" i="1" s="1"/>
  <c r="K67" i="1" s="1"/>
  <c r="H68" i="1"/>
  <c r="J68" i="1" s="1"/>
  <c r="K68" i="1" s="1"/>
  <c r="H69" i="1"/>
  <c r="H70" i="1"/>
  <c r="H71" i="1"/>
  <c r="H72" i="1"/>
  <c r="H73" i="1"/>
  <c r="J73" i="1" s="1"/>
  <c r="K73" i="1" s="1"/>
  <c r="H74" i="1"/>
  <c r="J74" i="1" s="1"/>
  <c r="K74" i="1" s="1"/>
  <c r="H75" i="1"/>
  <c r="H76" i="1"/>
  <c r="H77" i="1"/>
  <c r="J77" i="1" s="1"/>
  <c r="K77" i="1" s="1"/>
  <c r="H78" i="1"/>
  <c r="J78" i="1" s="1"/>
  <c r="K78" i="1" s="1"/>
  <c r="H79" i="1"/>
  <c r="J79" i="1" s="1"/>
  <c r="K79" i="1" s="1"/>
  <c r="H80" i="1"/>
  <c r="J80" i="1" s="1"/>
  <c r="K80" i="1" s="1"/>
  <c r="H81" i="1"/>
  <c r="H82" i="1"/>
  <c r="J82" i="1" s="1"/>
  <c r="K82" i="1" s="1"/>
  <c r="H83" i="1"/>
  <c r="J83" i="1" s="1"/>
  <c r="K83" i="1" s="1"/>
  <c r="H84" i="1"/>
  <c r="J84" i="1" s="1"/>
  <c r="K84" i="1" s="1"/>
  <c r="H85" i="1"/>
  <c r="J85" i="1" s="1"/>
  <c r="K85" i="1" s="1"/>
  <c r="H86" i="1"/>
  <c r="H87" i="1"/>
  <c r="H88" i="1"/>
  <c r="J88" i="1" s="1"/>
  <c r="K88" i="1" s="1"/>
  <c r="H89" i="1"/>
  <c r="J89" i="1" s="1"/>
  <c r="K89" i="1" s="1"/>
  <c r="H90" i="1"/>
  <c r="J90" i="1" s="1"/>
  <c r="K90" i="1" s="1"/>
  <c r="H91" i="1"/>
  <c r="J91" i="1" s="1"/>
  <c r="K91" i="1" s="1"/>
  <c r="H92" i="1"/>
  <c r="H93" i="1"/>
  <c r="H94" i="1"/>
  <c r="J94" i="1" s="1"/>
  <c r="K94" i="1" s="1"/>
  <c r="H95" i="1"/>
  <c r="J95" i="1" s="1"/>
  <c r="K95" i="1" s="1"/>
  <c r="H96" i="1"/>
  <c r="J96" i="1" s="1"/>
  <c r="K96" i="1" s="1"/>
  <c r="H97" i="1"/>
  <c r="H98" i="1"/>
  <c r="H99" i="1"/>
  <c r="H100" i="1"/>
  <c r="J100" i="1" s="1"/>
  <c r="K100" i="1" s="1"/>
  <c r="H101" i="1"/>
  <c r="J101" i="1" s="1"/>
  <c r="K101" i="1" s="1"/>
  <c r="H102" i="1"/>
  <c r="H103" i="1"/>
  <c r="J103" i="1" s="1"/>
  <c r="K103" i="1" s="1"/>
  <c r="H104" i="1"/>
  <c r="H105" i="1"/>
  <c r="J105" i="1" s="1"/>
  <c r="K105" i="1" s="1"/>
  <c r="H106" i="1"/>
  <c r="J106" i="1" s="1"/>
  <c r="K106" i="1" s="1"/>
  <c r="H107" i="1"/>
  <c r="J107" i="1" s="1"/>
  <c r="K107" i="1" s="1"/>
  <c r="H108" i="1"/>
  <c r="H109" i="1"/>
  <c r="J109" i="1" s="1"/>
  <c r="K109" i="1" s="1"/>
  <c r="H110" i="1"/>
  <c r="H111" i="1"/>
  <c r="H112" i="1"/>
  <c r="J112" i="1" s="1"/>
  <c r="K112" i="1" s="1"/>
  <c r="H113" i="1"/>
  <c r="H114" i="1"/>
  <c r="H115" i="1"/>
  <c r="J115" i="1" s="1"/>
  <c r="K115" i="1" s="1"/>
  <c r="H116" i="1"/>
  <c r="H117" i="1"/>
  <c r="H118" i="1"/>
  <c r="H119" i="1"/>
  <c r="H120" i="1"/>
  <c r="H121" i="1"/>
  <c r="J121" i="1" s="1"/>
  <c r="K121" i="1" s="1"/>
  <c r="H122" i="1"/>
  <c r="H123" i="1"/>
  <c r="H124" i="1"/>
  <c r="J124" i="1" s="1"/>
  <c r="K124" i="1" s="1"/>
  <c r="H125" i="1"/>
  <c r="J125" i="1" s="1"/>
  <c r="K125" i="1" s="1"/>
  <c r="H126" i="1"/>
  <c r="H127" i="1"/>
  <c r="H128" i="1"/>
  <c r="H129" i="1"/>
  <c r="H130" i="1"/>
  <c r="J130" i="1" s="1"/>
  <c r="K130" i="1" s="1"/>
  <c r="H131" i="1"/>
  <c r="J131" i="1" s="1"/>
  <c r="K131" i="1" s="1"/>
  <c r="H132" i="1"/>
  <c r="H133" i="1"/>
  <c r="H134" i="1"/>
  <c r="H135" i="1"/>
  <c r="H136" i="1"/>
  <c r="J136" i="1" s="1"/>
  <c r="K136" i="1" s="1"/>
  <c r="H137" i="1"/>
  <c r="J137" i="1" s="1"/>
  <c r="K137" i="1" s="1"/>
  <c r="H138" i="1"/>
  <c r="H139" i="1"/>
  <c r="H140" i="1"/>
  <c r="J140" i="1" s="1"/>
  <c r="K140" i="1" s="1"/>
  <c r="H141" i="1"/>
  <c r="H142" i="1"/>
  <c r="J142" i="1" s="1"/>
  <c r="K142" i="1" s="1"/>
  <c r="H143" i="1"/>
  <c r="J143" i="1" s="1"/>
  <c r="K143" i="1" s="1"/>
  <c r="H144" i="1"/>
  <c r="H145" i="1"/>
  <c r="H146" i="1"/>
  <c r="J146" i="1" s="1"/>
  <c r="K146" i="1" s="1"/>
  <c r="H147" i="1"/>
  <c r="H148" i="1"/>
  <c r="J148" i="1" s="1"/>
  <c r="K148" i="1" s="1"/>
  <c r="H149" i="1"/>
  <c r="H150" i="1"/>
  <c r="H151" i="1"/>
  <c r="H152" i="1"/>
  <c r="H153" i="1"/>
  <c r="H154" i="1"/>
  <c r="J154" i="1" s="1"/>
  <c r="K154" i="1" s="1"/>
  <c r="H155" i="1"/>
  <c r="H156" i="1"/>
  <c r="H157" i="1"/>
  <c r="H158" i="1"/>
  <c r="J158" i="1" s="1"/>
  <c r="K158" i="1" s="1"/>
  <c r="H159" i="1"/>
  <c r="H160" i="1"/>
  <c r="H161" i="1"/>
  <c r="H162" i="1"/>
  <c r="H163" i="1"/>
  <c r="H164" i="1"/>
  <c r="J164" i="1" s="1"/>
  <c r="K164" i="1" s="1"/>
  <c r="H165" i="1"/>
  <c r="H166" i="1"/>
  <c r="H167" i="1"/>
  <c r="J167" i="1" s="1"/>
  <c r="K167" i="1" s="1"/>
  <c r="H168" i="1"/>
  <c r="H169" i="1"/>
  <c r="H170" i="1"/>
  <c r="H171" i="1"/>
  <c r="H172" i="1"/>
  <c r="H173" i="1"/>
  <c r="J173" i="1" s="1"/>
  <c r="K173" i="1" s="1"/>
  <c r="H174" i="1"/>
  <c r="H175" i="1"/>
  <c r="H176" i="1"/>
  <c r="H177" i="1"/>
  <c r="H178" i="1"/>
  <c r="J178" i="1" s="1"/>
  <c r="K178" i="1" s="1"/>
  <c r="H179" i="1"/>
  <c r="J179" i="1" s="1"/>
  <c r="K179" i="1" s="1"/>
  <c r="H180" i="1"/>
  <c r="H181" i="1"/>
  <c r="H182" i="1"/>
  <c r="H183" i="1"/>
  <c r="H184" i="1"/>
  <c r="J184" i="1" s="1"/>
  <c r="K184" i="1" s="1"/>
  <c r="H185" i="1"/>
  <c r="J185" i="1" s="1"/>
  <c r="K185" i="1" s="1"/>
  <c r="H186" i="1"/>
  <c r="H187" i="1"/>
  <c r="H188" i="1"/>
  <c r="H189" i="1"/>
  <c r="H190" i="1"/>
  <c r="J190" i="1" s="1"/>
  <c r="K190" i="1" s="1"/>
  <c r="H191" i="1"/>
  <c r="J191" i="1" s="1"/>
  <c r="K191" i="1" s="1"/>
  <c r="H192" i="1"/>
  <c r="H193" i="1"/>
  <c r="J193" i="1" s="1"/>
  <c r="K193" i="1" s="1"/>
  <c r="H194" i="1"/>
  <c r="J194" i="1" s="1"/>
  <c r="K194" i="1" s="1"/>
  <c r="H195" i="1"/>
  <c r="H196" i="1"/>
  <c r="J196" i="1" s="1"/>
  <c r="K196" i="1" s="1"/>
  <c r="H197" i="1"/>
  <c r="J197" i="1" s="1"/>
  <c r="K197" i="1" s="1"/>
  <c r="H198" i="1"/>
  <c r="H199" i="1"/>
  <c r="J199" i="1" s="1"/>
  <c r="K199" i="1" s="1"/>
  <c r="H200" i="1"/>
  <c r="J200" i="1" s="1"/>
  <c r="K200" i="1" s="1"/>
  <c r="H201" i="1"/>
  <c r="H202" i="1"/>
  <c r="H203" i="1"/>
  <c r="H204" i="1"/>
  <c r="H205" i="1"/>
  <c r="J205" i="1" s="1"/>
  <c r="K205" i="1" s="1"/>
  <c r="H206" i="1"/>
  <c r="H207" i="1"/>
  <c r="H208" i="1"/>
  <c r="H209" i="1"/>
  <c r="J209" i="1" s="1"/>
  <c r="K209" i="1" s="1"/>
  <c r="H210" i="1"/>
  <c r="H211" i="1"/>
  <c r="J211" i="1" s="1"/>
  <c r="K211" i="1" s="1"/>
  <c r="H212" i="1"/>
  <c r="J212" i="1" s="1"/>
  <c r="K212" i="1" s="1"/>
  <c r="H213" i="1"/>
  <c r="H214" i="1"/>
  <c r="H215" i="1"/>
  <c r="H216" i="1"/>
  <c r="H217" i="1"/>
  <c r="J217" i="1" s="1"/>
  <c r="K217" i="1" s="1"/>
  <c r="H218" i="1"/>
  <c r="J218" i="1" s="1"/>
  <c r="K218" i="1" s="1"/>
  <c r="H219" i="1"/>
  <c r="H220" i="1"/>
  <c r="H221" i="1"/>
  <c r="J221" i="1" s="1"/>
  <c r="K221" i="1" s="1"/>
  <c r="H222" i="1"/>
  <c r="H223" i="1"/>
  <c r="J223" i="1" s="1"/>
  <c r="K223" i="1" s="1"/>
  <c r="H224" i="1"/>
  <c r="H225" i="1"/>
  <c r="H226" i="1"/>
  <c r="H227" i="1"/>
  <c r="J227" i="1" s="1"/>
  <c r="K227" i="1" s="1"/>
  <c r="H228" i="1"/>
  <c r="H229" i="1"/>
  <c r="J229" i="1" s="1"/>
  <c r="K229" i="1" s="1"/>
  <c r="H8" i="1"/>
  <c r="H9" i="1"/>
  <c r="H10" i="1"/>
  <c r="H11" i="1"/>
  <c r="J11" i="1" s="1"/>
  <c r="K11" i="1" s="1"/>
  <c r="H12" i="1"/>
  <c r="H13" i="1"/>
  <c r="J13" i="1" s="1"/>
  <c r="K13" i="1" s="1"/>
  <c r="H14" i="1"/>
  <c r="J14" i="1" s="1"/>
  <c r="K14" i="1" s="1"/>
  <c r="H15" i="1"/>
  <c r="J15" i="1" s="1"/>
  <c r="K15" i="1" s="1"/>
  <c r="H16" i="1"/>
  <c r="H17" i="1"/>
  <c r="J17" i="1" s="1"/>
  <c r="K17" i="1" s="1"/>
  <c r="H18" i="1"/>
  <c r="J18" i="1" s="1"/>
  <c r="K18" i="1" s="1"/>
  <c r="H19" i="1"/>
  <c r="J19" i="1" s="1"/>
  <c r="K19" i="1" s="1"/>
  <c r="H7" i="1"/>
  <c r="O5" i="1"/>
  <c r="O4" i="1"/>
  <c r="J46" i="1" l="1"/>
  <c r="K46" i="1" s="1"/>
  <c r="J12" i="1"/>
  <c r="K12" i="1" s="1"/>
  <c r="J69" i="1"/>
  <c r="K69" i="1" s="1"/>
  <c r="J122" i="1"/>
  <c r="K122" i="1" s="1"/>
  <c r="J110" i="1"/>
  <c r="K110" i="1" s="1"/>
  <c r="J104" i="1"/>
  <c r="K104" i="1" s="1"/>
  <c r="J187" i="1"/>
  <c r="K187" i="1" s="1"/>
  <c r="J181" i="1"/>
  <c r="K181" i="1" s="1"/>
  <c r="J175" i="1"/>
  <c r="K175" i="1" s="1"/>
  <c r="J169" i="1"/>
  <c r="K169" i="1" s="1"/>
  <c r="J163" i="1"/>
  <c r="K163" i="1" s="1"/>
  <c r="J157" i="1"/>
  <c r="K157" i="1" s="1"/>
  <c r="J151" i="1"/>
  <c r="K151" i="1" s="1"/>
  <c r="J145" i="1"/>
  <c r="K145" i="1" s="1"/>
  <c r="J139" i="1"/>
  <c r="K139" i="1" s="1"/>
  <c r="J133" i="1"/>
  <c r="K133" i="1" s="1"/>
  <c r="J127" i="1"/>
  <c r="K127" i="1" s="1"/>
  <c r="J61" i="1"/>
  <c r="K61" i="1" s="1"/>
  <c r="J43" i="1"/>
  <c r="K43" i="1" s="1"/>
  <c r="J25" i="1"/>
  <c r="K25" i="1" s="1"/>
  <c r="J51" i="1"/>
  <c r="K51" i="1" s="1"/>
  <c r="J33" i="1"/>
  <c r="K33" i="1" s="1"/>
  <c r="J65" i="1"/>
  <c r="K65" i="1" s="1"/>
  <c r="J72" i="1"/>
  <c r="K72" i="1" s="1"/>
  <c r="J54" i="1"/>
  <c r="K54" i="1" s="1"/>
  <c r="J36" i="1"/>
  <c r="K36" i="1" s="1"/>
  <c r="J7" i="1"/>
  <c r="K7" i="1" s="1"/>
  <c r="J8" i="1"/>
  <c r="K8" i="1" s="1"/>
  <c r="J182" i="1"/>
  <c r="K182" i="1" s="1"/>
  <c r="J176" i="1"/>
  <c r="K176" i="1" s="1"/>
  <c r="J128" i="1"/>
  <c r="K128" i="1" s="1"/>
  <c r="J98" i="1"/>
  <c r="K98" i="1" s="1"/>
  <c r="J92" i="1"/>
  <c r="K92" i="1" s="1"/>
  <c r="J86" i="1"/>
  <c r="K86" i="1" s="1"/>
  <c r="J56" i="1"/>
  <c r="K56" i="1" s="1"/>
  <c r="J38" i="1"/>
  <c r="K38" i="1" s="1"/>
  <c r="J20" i="1"/>
  <c r="K20" i="1" s="1"/>
  <c r="J114" i="1"/>
  <c r="K114" i="1" s="1"/>
  <c r="J66" i="1"/>
  <c r="K66" i="1" s="1"/>
  <c r="J215" i="1"/>
  <c r="K215" i="1" s="1"/>
  <c r="J203" i="1"/>
  <c r="K203" i="1" s="1"/>
  <c r="J161" i="1"/>
  <c r="K161" i="1" s="1"/>
  <c r="J149" i="1"/>
  <c r="K149" i="1" s="1"/>
  <c r="J119" i="1"/>
  <c r="K119" i="1" s="1"/>
  <c r="J47" i="1"/>
  <c r="K47" i="1" s="1"/>
  <c r="J155" i="1"/>
  <c r="K155" i="1" s="1"/>
  <c r="J113" i="1"/>
  <c r="K113" i="1" s="1"/>
  <c r="J10" i="1"/>
  <c r="K10" i="1" s="1"/>
  <c r="J226" i="1"/>
  <c r="K226" i="1" s="1"/>
  <c r="J220" i="1"/>
  <c r="K220" i="1" s="1"/>
  <c r="J214" i="1"/>
  <c r="K214" i="1" s="1"/>
  <c r="J208" i="1"/>
  <c r="K208" i="1" s="1"/>
  <c r="J202" i="1"/>
  <c r="K202" i="1" s="1"/>
  <c r="J172" i="1"/>
  <c r="K172" i="1" s="1"/>
  <c r="J166" i="1"/>
  <c r="K166" i="1" s="1"/>
  <c r="J160" i="1"/>
  <c r="K160" i="1" s="1"/>
  <c r="J118" i="1"/>
  <c r="K118" i="1" s="1"/>
  <c r="J76" i="1"/>
  <c r="K76" i="1" s="1"/>
  <c r="J70" i="1"/>
  <c r="K70" i="1" s="1"/>
  <c r="J58" i="1"/>
  <c r="K58" i="1" s="1"/>
  <c r="J40" i="1"/>
  <c r="K40" i="1" s="1"/>
  <c r="J22" i="1"/>
  <c r="K22" i="1" s="1"/>
  <c r="J71" i="1"/>
  <c r="K71" i="1" s="1"/>
  <c r="J9" i="1"/>
  <c r="K9" i="1" s="1"/>
  <c r="J219" i="1"/>
  <c r="K219" i="1" s="1"/>
  <c r="J201" i="1"/>
  <c r="K201" i="1" s="1"/>
  <c r="J183" i="1"/>
  <c r="K183" i="1" s="1"/>
  <c r="J165" i="1"/>
  <c r="K165" i="1" s="1"/>
  <c r="J147" i="1"/>
  <c r="K147" i="1" s="1"/>
  <c r="J129" i="1"/>
  <c r="K129" i="1" s="1"/>
  <c r="J123" i="1"/>
  <c r="K123" i="1" s="1"/>
  <c r="J111" i="1"/>
  <c r="K111" i="1" s="1"/>
  <c r="J99" i="1"/>
  <c r="K99" i="1" s="1"/>
  <c r="J87" i="1"/>
  <c r="K87" i="1" s="1"/>
  <c r="J81" i="1"/>
  <c r="K81" i="1" s="1"/>
  <c r="J75" i="1"/>
  <c r="K75" i="1" s="1"/>
  <c r="J63" i="1"/>
  <c r="K63" i="1" s="1"/>
  <c r="J57" i="1"/>
  <c r="K57" i="1" s="1"/>
  <c r="J45" i="1"/>
  <c r="K45" i="1" s="1"/>
  <c r="J39" i="1"/>
  <c r="K39" i="1" s="1"/>
  <c r="J27" i="1"/>
  <c r="K27" i="1" s="1"/>
  <c r="J21" i="1"/>
  <c r="K21" i="1" s="1"/>
  <c r="J16" i="1"/>
  <c r="K16" i="1" s="1"/>
  <c r="J52" i="1"/>
  <c r="K52" i="1" s="1"/>
  <c r="J34" i="1"/>
  <c r="K34" i="1" s="1"/>
  <c r="J177" i="1"/>
  <c r="K177" i="1" s="1"/>
  <c r="J170" i="1"/>
  <c r="K170" i="1" s="1"/>
  <c r="J152" i="1"/>
  <c r="K152" i="1" s="1"/>
  <c r="J134" i="1"/>
  <c r="K134" i="1" s="1"/>
  <c r="J116" i="1"/>
  <c r="K116" i="1" s="1"/>
  <c r="J207" i="1"/>
  <c r="K207" i="1" s="1"/>
  <c r="J153" i="1"/>
  <c r="K153" i="1" s="1"/>
  <c r="J117" i="1"/>
  <c r="K117" i="1" s="1"/>
  <c r="J97" i="1"/>
  <c r="K97" i="1" s="1"/>
  <c r="J213" i="1"/>
  <c r="K213" i="1" s="1"/>
  <c r="J195" i="1"/>
  <c r="K195" i="1" s="1"/>
  <c r="J141" i="1"/>
  <c r="K141" i="1" s="1"/>
  <c r="J188" i="1"/>
  <c r="K188" i="1" s="1"/>
  <c r="J228" i="1"/>
  <c r="K228" i="1" s="1"/>
  <c r="J216" i="1"/>
  <c r="K216" i="1" s="1"/>
  <c r="J204" i="1"/>
  <c r="K204" i="1" s="1"/>
  <c r="J198" i="1"/>
  <c r="K198" i="1" s="1"/>
  <c r="J186" i="1"/>
  <c r="K186" i="1" s="1"/>
  <c r="J174" i="1"/>
  <c r="K174" i="1" s="1"/>
  <c r="J156" i="1"/>
  <c r="K156" i="1" s="1"/>
  <c r="J150" i="1"/>
  <c r="K150" i="1" s="1"/>
  <c r="J144" i="1"/>
  <c r="K144" i="1" s="1"/>
  <c r="J138" i="1"/>
  <c r="K138" i="1" s="1"/>
  <c r="J132" i="1"/>
  <c r="K132" i="1" s="1"/>
  <c r="J126" i="1"/>
  <c r="K126" i="1" s="1"/>
  <c r="J120" i="1"/>
  <c r="K120" i="1" s="1"/>
  <c r="J108" i="1"/>
  <c r="K108" i="1" s="1"/>
  <c r="J102" i="1"/>
  <c r="K102" i="1" s="1"/>
  <c r="J48" i="1"/>
  <c r="K48" i="1" s="1"/>
  <c r="J30" i="1"/>
  <c r="K30" i="1" s="1"/>
  <c r="J225" i="1"/>
  <c r="K225" i="1" s="1"/>
  <c r="J189" i="1"/>
  <c r="K189" i="1" s="1"/>
  <c r="J171" i="1"/>
  <c r="K171" i="1" s="1"/>
  <c r="J159" i="1"/>
  <c r="K159" i="1" s="1"/>
  <c r="J135" i="1"/>
  <c r="K135" i="1" s="1"/>
  <c r="J93" i="1"/>
  <c r="K93" i="1" s="1"/>
  <c r="J224" i="1"/>
  <c r="K224" i="1" s="1"/>
  <c r="J206" i="1"/>
  <c r="K206" i="1" s="1"/>
  <c r="J222" i="1"/>
  <c r="K222" i="1" s="1"/>
  <c r="J210" i="1"/>
  <c r="K210" i="1" s="1"/>
  <c r="J192" i="1"/>
  <c r="K192" i="1" s="1"/>
  <c r="J180" i="1"/>
  <c r="K180" i="1" s="1"/>
  <c r="J168" i="1"/>
  <c r="K168" i="1" s="1"/>
  <c r="J162" i="1"/>
  <c r="K162" i="1" s="1"/>
  <c r="F31" i="1"/>
  <c r="G31" i="1" s="1"/>
  <c r="F8" i="1"/>
  <c r="G8" i="1" s="1"/>
  <c r="F49" i="1"/>
  <c r="G49" i="1" s="1"/>
  <c r="F222" i="1"/>
  <c r="G222" i="1" s="1"/>
  <c r="F174" i="1"/>
  <c r="G174" i="1" s="1"/>
  <c r="F138" i="1"/>
  <c r="G138" i="1" s="1"/>
  <c r="F102" i="1"/>
  <c r="G102" i="1" s="1"/>
  <c r="F84" i="1"/>
  <c r="G84" i="1" s="1"/>
  <c r="F66" i="1"/>
  <c r="G66" i="1" s="1"/>
  <c r="F12" i="1"/>
  <c r="G12" i="1" s="1"/>
  <c r="F7" i="1"/>
  <c r="G7" i="1" s="1"/>
  <c r="F218" i="1"/>
  <c r="G218" i="1" s="1"/>
  <c r="F205" i="1"/>
  <c r="G205" i="1" s="1"/>
  <c r="F187" i="1"/>
  <c r="G187" i="1" s="1"/>
  <c r="F169" i="1"/>
  <c r="G169" i="1" s="1"/>
  <c r="F151" i="1"/>
  <c r="G151" i="1" s="1"/>
  <c r="F133" i="1"/>
  <c r="G133" i="1" s="1"/>
  <c r="F115" i="1"/>
  <c r="G115" i="1" s="1"/>
  <c r="F97" i="1"/>
  <c r="G97" i="1" s="1"/>
  <c r="F79" i="1"/>
  <c r="G79" i="1" s="1"/>
  <c r="F61" i="1"/>
  <c r="G61" i="1" s="1"/>
  <c r="F43" i="1"/>
  <c r="G43" i="1" s="1"/>
  <c r="F25" i="1"/>
  <c r="G25" i="1" s="1"/>
  <c r="F229" i="1"/>
  <c r="G229" i="1" s="1"/>
  <c r="F217" i="1"/>
  <c r="G217" i="1" s="1"/>
  <c r="F204" i="1"/>
  <c r="G204" i="1" s="1"/>
  <c r="F186" i="1"/>
  <c r="G186" i="1" s="1"/>
  <c r="F168" i="1"/>
  <c r="G168" i="1" s="1"/>
  <c r="F150" i="1"/>
  <c r="G150" i="1" s="1"/>
  <c r="F132" i="1"/>
  <c r="G132" i="1" s="1"/>
  <c r="F114" i="1"/>
  <c r="G114" i="1" s="1"/>
  <c r="F96" i="1"/>
  <c r="G96" i="1" s="1"/>
  <c r="F78" i="1"/>
  <c r="G78" i="1" s="1"/>
  <c r="F60" i="1"/>
  <c r="G60" i="1" s="1"/>
  <c r="F42" i="1"/>
  <c r="G42" i="1" s="1"/>
  <c r="F24" i="1"/>
  <c r="G24" i="1" s="1"/>
  <c r="F223" i="1"/>
  <c r="G223" i="1" s="1"/>
  <c r="F211" i="1"/>
  <c r="G211" i="1" s="1"/>
  <c r="F193" i="1"/>
  <c r="G193" i="1" s="1"/>
  <c r="F175" i="1"/>
  <c r="G175" i="1" s="1"/>
  <c r="F157" i="1"/>
  <c r="G157" i="1" s="1"/>
  <c r="F139" i="1"/>
  <c r="G139" i="1" s="1"/>
  <c r="F121" i="1"/>
  <c r="G121" i="1" s="1"/>
  <c r="F103" i="1"/>
  <c r="G103" i="1" s="1"/>
  <c r="F85" i="1"/>
  <c r="G85" i="1" s="1"/>
  <c r="F67" i="1"/>
  <c r="G67" i="1" s="1"/>
  <c r="F13" i="1"/>
  <c r="G13" i="1" s="1"/>
  <c r="F192" i="1"/>
  <c r="G192" i="1" s="1"/>
  <c r="F48" i="1"/>
  <c r="G48" i="1" s="1"/>
  <c r="F228" i="1"/>
  <c r="G228" i="1" s="1"/>
  <c r="F216" i="1"/>
  <c r="G216" i="1" s="1"/>
  <c r="F199" i="1"/>
  <c r="G199" i="1" s="1"/>
  <c r="F181" i="1"/>
  <c r="G181" i="1" s="1"/>
  <c r="F163" i="1"/>
  <c r="G163" i="1" s="1"/>
  <c r="F145" i="1"/>
  <c r="G145" i="1" s="1"/>
  <c r="F127" i="1"/>
  <c r="G127" i="1" s="1"/>
  <c r="F109" i="1"/>
  <c r="G109" i="1" s="1"/>
  <c r="F91" i="1"/>
  <c r="G91" i="1" s="1"/>
  <c r="F73" i="1"/>
  <c r="G73" i="1" s="1"/>
  <c r="F55" i="1"/>
  <c r="G55" i="1" s="1"/>
  <c r="F37" i="1"/>
  <c r="G37" i="1" s="1"/>
  <c r="F19" i="1"/>
  <c r="G19" i="1" s="1"/>
  <c r="F210" i="1"/>
  <c r="G210" i="1" s="1"/>
  <c r="F156" i="1"/>
  <c r="G156" i="1" s="1"/>
  <c r="F120" i="1"/>
  <c r="G120" i="1" s="1"/>
  <c r="F30" i="1"/>
  <c r="G30" i="1" s="1"/>
  <c r="F224" i="1"/>
  <c r="G224" i="1" s="1"/>
  <c r="F212" i="1"/>
  <c r="G212" i="1" s="1"/>
  <c r="F198" i="1"/>
  <c r="G198" i="1" s="1"/>
  <c r="F180" i="1"/>
  <c r="G180" i="1" s="1"/>
  <c r="F162" i="1"/>
  <c r="G162" i="1" s="1"/>
  <c r="F144" i="1"/>
  <c r="G144" i="1" s="1"/>
  <c r="F126" i="1"/>
  <c r="G126" i="1" s="1"/>
  <c r="F108" i="1"/>
  <c r="G108" i="1" s="1"/>
  <c r="F90" i="1"/>
  <c r="G90" i="1" s="1"/>
  <c r="F72" i="1"/>
  <c r="G72" i="1" s="1"/>
  <c r="F54" i="1"/>
  <c r="G54" i="1" s="1"/>
  <c r="F36" i="1"/>
  <c r="G36" i="1" s="1"/>
  <c r="F18" i="1"/>
  <c r="G18" i="1" s="1"/>
  <c r="F227" i="1"/>
  <c r="G227" i="1" s="1"/>
  <c r="F221" i="1"/>
  <c r="G221" i="1" s="1"/>
  <c r="F215" i="1"/>
  <c r="G215" i="1" s="1"/>
  <c r="F209" i="1"/>
  <c r="G209" i="1" s="1"/>
  <c r="F203" i="1"/>
  <c r="G203" i="1" s="1"/>
  <c r="F197" i="1"/>
  <c r="G197" i="1" s="1"/>
  <c r="F191" i="1"/>
  <c r="G191" i="1" s="1"/>
  <c r="F185" i="1"/>
  <c r="G185" i="1" s="1"/>
  <c r="F179" i="1"/>
  <c r="G179" i="1" s="1"/>
  <c r="F173" i="1"/>
  <c r="G173" i="1" s="1"/>
  <c r="F167" i="1"/>
  <c r="G167" i="1" s="1"/>
  <c r="F161" i="1"/>
  <c r="G161" i="1" s="1"/>
  <c r="F155" i="1"/>
  <c r="G155" i="1" s="1"/>
  <c r="F149" i="1"/>
  <c r="G149" i="1" s="1"/>
  <c r="F143" i="1"/>
  <c r="G143" i="1" s="1"/>
  <c r="F137" i="1"/>
  <c r="G137" i="1" s="1"/>
  <c r="F131" i="1"/>
  <c r="G131" i="1" s="1"/>
  <c r="F125" i="1"/>
  <c r="G125" i="1" s="1"/>
  <c r="F119" i="1"/>
  <c r="G119" i="1" s="1"/>
  <c r="F113" i="1"/>
  <c r="G113" i="1" s="1"/>
  <c r="F107" i="1"/>
  <c r="G107" i="1" s="1"/>
  <c r="F101" i="1"/>
  <c r="G101" i="1" s="1"/>
  <c r="F95" i="1"/>
  <c r="G95" i="1" s="1"/>
  <c r="F89" i="1"/>
  <c r="G89" i="1" s="1"/>
  <c r="F83" i="1"/>
  <c r="G83" i="1" s="1"/>
  <c r="F77" i="1"/>
  <c r="G77" i="1" s="1"/>
  <c r="F71" i="1"/>
  <c r="G71" i="1" s="1"/>
  <c r="F65" i="1"/>
  <c r="G65" i="1" s="1"/>
  <c r="F59" i="1"/>
  <c r="G59" i="1" s="1"/>
  <c r="F53" i="1"/>
  <c r="G53" i="1" s="1"/>
  <c r="F47" i="1"/>
  <c r="G47" i="1" s="1"/>
  <c r="F41" i="1"/>
  <c r="G41" i="1" s="1"/>
  <c r="F35" i="1"/>
  <c r="G35" i="1" s="1"/>
  <c r="F29" i="1"/>
  <c r="G29" i="1" s="1"/>
  <c r="F23" i="1"/>
  <c r="G23" i="1" s="1"/>
  <c r="F17" i="1"/>
  <c r="G17" i="1" s="1"/>
  <c r="F11" i="1"/>
  <c r="G11" i="1" s="1"/>
  <c r="F226" i="1"/>
  <c r="G226" i="1" s="1"/>
  <c r="F220" i="1"/>
  <c r="G220" i="1" s="1"/>
  <c r="F214" i="1"/>
  <c r="G214" i="1" s="1"/>
  <c r="F208" i="1"/>
  <c r="G208" i="1" s="1"/>
  <c r="F202" i="1"/>
  <c r="G202" i="1" s="1"/>
  <c r="F196" i="1"/>
  <c r="G196" i="1" s="1"/>
  <c r="F190" i="1"/>
  <c r="G190" i="1" s="1"/>
  <c r="F184" i="1"/>
  <c r="G184" i="1" s="1"/>
  <c r="F178" i="1"/>
  <c r="G178" i="1" s="1"/>
  <c r="F172" i="1"/>
  <c r="G172" i="1" s="1"/>
  <c r="F166" i="1"/>
  <c r="G166" i="1" s="1"/>
  <c r="F160" i="1"/>
  <c r="G160" i="1" s="1"/>
  <c r="F154" i="1"/>
  <c r="G154" i="1" s="1"/>
  <c r="F148" i="1"/>
  <c r="G148" i="1" s="1"/>
  <c r="F142" i="1"/>
  <c r="G142" i="1" s="1"/>
  <c r="F136" i="1"/>
  <c r="G136" i="1" s="1"/>
  <c r="F130" i="1"/>
  <c r="G130" i="1" s="1"/>
  <c r="F124" i="1"/>
  <c r="G124" i="1" s="1"/>
  <c r="F118" i="1"/>
  <c r="G118" i="1" s="1"/>
  <c r="F112" i="1"/>
  <c r="G112" i="1" s="1"/>
  <c r="F106" i="1"/>
  <c r="G106" i="1" s="1"/>
  <c r="F100" i="1"/>
  <c r="G100" i="1" s="1"/>
  <c r="F94" i="1"/>
  <c r="G94" i="1" s="1"/>
  <c r="F88" i="1"/>
  <c r="G88" i="1" s="1"/>
  <c r="F82" i="1"/>
  <c r="G82" i="1" s="1"/>
  <c r="F76" i="1"/>
  <c r="G76" i="1" s="1"/>
  <c r="F70" i="1"/>
  <c r="G70" i="1" s="1"/>
  <c r="F64" i="1"/>
  <c r="G64" i="1" s="1"/>
  <c r="F58" i="1"/>
  <c r="G58" i="1" s="1"/>
  <c r="F52" i="1"/>
  <c r="G52" i="1" s="1"/>
  <c r="F46" i="1"/>
  <c r="G46" i="1" s="1"/>
  <c r="F40" i="1"/>
  <c r="G40" i="1" s="1"/>
  <c r="F34" i="1"/>
  <c r="G34" i="1" s="1"/>
  <c r="F28" i="1"/>
  <c r="G28" i="1" s="1"/>
  <c r="F22" i="1"/>
  <c r="G22" i="1" s="1"/>
  <c r="F16" i="1"/>
  <c r="G16" i="1" s="1"/>
  <c r="F10" i="1"/>
  <c r="G10" i="1" s="1"/>
  <c r="F225" i="1"/>
  <c r="G225" i="1" s="1"/>
  <c r="F219" i="1"/>
  <c r="G219" i="1" s="1"/>
  <c r="F213" i="1"/>
  <c r="G213" i="1" s="1"/>
  <c r="F207" i="1"/>
  <c r="G207" i="1" s="1"/>
  <c r="F201" i="1"/>
  <c r="G201" i="1" s="1"/>
  <c r="F195" i="1"/>
  <c r="G195" i="1" s="1"/>
  <c r="F189" i="1"/>
  <c r="G189" i="1" s="1"/>
  <c r="F183" i="1"/>
  <c r="G183" i="1" s="1"/>
  <c r="F177" i="1"/>
  <c r="G177" i="1" s="1"/>
  <c r="F171" i="1"/>
  <c r="G171" i="1" s="1"/>
  <c r="F165" i="1"/>
  <c r="G165" i="1" s="1"/>
  <c r="F159" i="1"/>
  <c r="G159" i="1" s="1"/>
  <c r="F153" i="1"/>
  <c r="G153" i="1" s="1"/>
  <c r="F147" i="1"/>
  <c r="G147" i="1" s="1"/>
  <c r="F141" i="1"/>
  <c r="G141" i="1" s="1"/>
  <c r="F135" i="1"/>
  <c r="G135" i="1" s="1"/>
  <c r="F129" i="1"/>
  <c r="G129" i="1" s="1"/>
  <c r="F123" i="1"/>
  <c r="G123" i="1" s="1"/>
  <c r="F117" i="1"/>
  <c r="G117" i="1" s="1"/>
  <c r="F111" i="1"/>
  <c r="G111" i="1" s="1"/>
  <c r="F105" i="1"/>
  <c r="G105" i="1" s="1"/>
  <c r="F99" i="1"/>
  <c r="G99" i="1" s="1"/>
  <c r="F93" i="1"/>
  <c r="G93" i="1" s="1"/>
  <c r="F87" i="1"/>
  <c r="G87" i="1" s="1"/>
  <c r="F81" i="1"/>
  <c r="G81" i="1" s="1"/>
  <c r="F75" i="1"/>
  <c r="G75" i="1" s="1"/>
  <c r="F69" i="1"/>
  <c r="G69" i="1" s="1"/>
  <c r="F63" i="1"/>
  <c r="G63" i="1" s="1"/>
  <c r="F57" i="1"/>
  <c r="G57" i="1" s="1"/>
  <c r="F51" i="1"/>
  <c r="G51" i="1" s="1"/>
  <c r="F45" i="1"/>
  <c r="G45" i="1" s="1"/>
  <c r="F39" i="1"/>
  <c r="G39" i="1" s="1"/>
  <c r="F33" i="1"/>
  <c r="G33" i="1" s="1"/>
  <c r="F27" i="1"/>
  <c r="G27" i="1" s="1"/>
  <c r="F21" i="1"/>
  <c r="G21" i="1" s="1"/>
  <c r="F15" i="1"/>
  <c r="G15" i="1" s="1"/>
  <c r="F9" i="1"/>
  <c r="G9" i="1" s="1"/>
  <c r="F206" i="1"/>
  <c r="G206" i="1" s="1"/>
  <c r="F200" i="1"/>
  <c r="G200" i="1" s="1"/>
  <c r="F194" i="1"/>
  <c r="G194" i="1" s="1"/>
  <c r="F188" i="1"/>
  <c r="G188" i="1" s="1"/>
  <c r="F182" i="1"/>
  <c r="G182" i="1" s="1"/>
  <c r="F176" i="1"/>
  <c r="G176" i="1" s="1"/>
  <c r="F170" i="1"/>
  <c r="G170" i="1" s="1"/>
  <c r="F164" i="1"/>
  <c r="G164" i="1" s="1"/>
  <c r="F158" i="1"/>
  <c r="G158" i="1" s="1"/>
  <c r="F152" i="1"/>
  <c r="G152" i="1" s="1"/>
  <c r="F146" i="1"/>
  <c r="G146" i="1" s="1"/>
  <c r="F140" i="1"/>
  <c r="G140" i="1" s="1"/>
  <c r="F134" i="1"/>
  <c r="G134" i="1" s="1"/>
  <c r="F128" i="1"/>
  <c r="G128" i="1" s="1"/>
  <c r="F122" i="1"/>
  <c r="G122" i="1" s="1"/>
  <c r="F116" i="1"/>
  <c r="G116" i="1" s="1"/>
  <c r="F110" i="1"/>
  <c r="G110" i="1" s="1"/>
  <c r="F104" i="1"/>
  <c r="G104" i="1" s="1"/>
  <c r="F98" i="1"/>
  <c r="G98" i="1" s="1"/>
  <c r="F92" i="1"/>
  <c r="G92" i="1" s="1"/>
  <c r="F86" i="1"/>
  <c r="G86" i="1" s="1"/>
  <c r="F80" i="1"/>
  <c r="G80" i="1" s="1"/>
  <c r="F74" i="1"/>
  <c r="G74" i="1" s="1"/>
  <c r="F68" i="1"/>
  <c r="G68" i="1" s="1"/>
  <c r="F62" i="1"/>
  <c r="G62" i="1" s="1"/>
  <c r="F56" i="1"/>
  <c r="G56" i="1" s="1"/>
  <c r="F50" i="1"/>
  <c r="G50" i="1" s="1"/>
  <c r="F44" i="1"/>
  <c r="G44" i="1" s="1"/>
  <c r="F38" i="1"/>
  <c r="G38" i="1" s="1"/>
  <c r="F32" i="1"/>
  <c r="G32" i="1" s="1"/>
  <c r="F26" i="1"/>
  <c r="G26" i="1" s="1"/>
  <c r="F20" i="1"/>
  <c r="G20" i="1" s="1"/>
  <c r="F14" i="1"/>
  <c r="G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<sst xmlns="http://schemas.openxmlformats.org/spreadsheetml/2006/main" count="236" uniqueCount="35">
  <si>
    <t>Product</t>
  </si>
  <si>
    <t>Date</t>
  </si>
  <si>
    <t>Sales</t>
  </si>
  <si>
    <t>After Nines</t>
  </si>
  <si>
    <t>Almond Choco</t>
  </si>
  <si>
    <t>Choco Coated Almonds</t>
  </si>
  <si>
    <t>Baker's Choco Chips</t>
  </si>
  <si>
    <t>Caramel Stuffed Bars</t>
  </si>
  <si>
    <t>Eclairs</t>
  </si>
  <si>
    <t>Fruit &amp; Nut Bars</t>
  </si>
  <si>
    <t>Milk Bars</t>
  </si>
  <si>
    <t>White Choc</t>
  </si>
  <si>
    <t>50% Dark Bites</t>
  </si>
  <si>
    <t>Orange Choco</t>
  </si>
  <si>
    <t>Spicy Special Slims</t>
  </si>
  <si>
    <t>99% Dark &amp; Pure</t>
  </si>
  <si>
    <t>Manuka Honey Choco</t>
  </si>
  <si>
    <t>Raspberry Choco</t>
  </si>
  <si>
    <t>Smooth Sliky Salty</t>
  </si>
  <si>
    <t>85% Dark Bars</t>
  </si>
  <si>
    <t>Peanut Butter Cubes</t>
  </si>
  <si>
    <t>Drinking Coco</t>
  </si>
  <si>
    <t>Organic Choco Syrup</t>
  </si>
  <si>
    <t>Mint Chip Choco</t>
  </si>
  <si>
    <t>70% Dark Bites</t>
  </si>
  <si>
    <t>Finding Outliers with Z-scores</t>
  </si>
  <si>
    <t>Average</t>
  </si>
  <si>
    <t>Standard Deviation</t>
  </si>
  <si>
    <t>Z-score</t>
  </si>
  <si>
    <t>Outlier?</t>
  </si>
  <si>
    <t>Avg. of prod</t>
  </si>
  <si>
    <t>SD of prod</t>
  </si>
  <si>
    <t>Z-score (prod)</t>
  </si>
  <si>
    <t>Outliers?</t>
  </si>
  <si>
    <t>SD of Prod (no 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</si>
</sst>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4" borderId="1" xfId="0" applyFont="1" applyFill="1" applyBorder="1"/>
    <xf numFmtId="0" fontId="2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4" fontId="0" fillId="0" borderId="0" xfId="0" applyNumberFormat="1"/>
    <xf numFmtId="2" fontId="0" fillId="0" borderId="1" xfId="0" applyNumberFormat="1" applyBorder="1" applyAlignment="1">
      <alignment horizontal="right"/>
    </xf>
    <xf numFmtId="0" fontId="1" fillId="5" borderId="1" xfId="0" applyFont="1" applyFill="1" applyBorder="1" applyAlignment="1">
      <alignment horizontal="right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73076</xdr:rowOff>
    </xdr:from>
    <xdr:to>
      <xdr:col>11</xdr:col>
      <xdr:colOff>853966</xdr:colOff>
      <xdr:row>0</xdr:row>
      <xdr:rowOff>578068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138" y="73076"/>
          <a:ext cx="1767052" cy="50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29"/>
  <sheetViews>
    <sheetView showGridLines="0" tabSelected="1" zoomScale="145" zoomScaleNormal="145" workbookViewId="0">
      <selection activeCell="L6" sqref="L6"/>
    </sheetView>
  </sheetViews>
  <sheetFormatPr defaultRowHeight="15" x14ac:dyDescent="0.25"/>
  <cols>
    <col min="1" max="1" width="1.5703125" customWidth="1"/>
    <col min="2" max="2" width="3.5703125" customWidth="1"/>
    <col min="3" max="3" width="32.28515625" customWidth="1"/>
    <col min="4" max="4" width="9.7109375" customWidth="1"/>
    <col min="5" max="5" width="10" customWidth="1"/>
    <col min="8" max="11" width="11" customWidth="1"/>
    <col min="12" max="12" width="19.7109375" bestFit="1" customWidth="1"/>
    <col min="14" max="14" width="16.42578125" customWidth="1"/>
  </cols>
  <sheetData>
    <row r="1" spans="1:15" s="2" customFormat="1" ht="52.5" customHeight="1" x14ac:dyDescent="0.25">
      <c r="A1" s="1"/>
      <c r="C1" s="5" t="s">
        <v>25</v>
      </c>
    </row>
    <row r="4" spans="1:15" x14ac:dyDescent="0.25">
      <c r="N4" t="s">
        <v>26</v>
      </c>
      <c r="O4" s="10">
        <f>AVERAGE(E7:E229)</f>
        <v>3180.5336322869957</v>
      </c>
    </row>
    <row r="5" spans="1:15" x14ac:dyDescent="0.25">
      <c r="N5" t="s">
        <v>27</v>
      </c>
      <c r="O5">
        <f>_xlfn.STDEV.P(E7:E229)</f>
        <v>2875.1000150259993</v>
      </c>
    </row>
    <row r="6" spans="1:15" x14ac:dyDescent="0.25">
      <c r="C6" s="4" t="s">
        <v>0</v>
      </c>
      <c r="D6" s="8" t="s">
        <v>1</v>
      </c>
      <c r="E6" s="6" t="s">
        <v>2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32</v>
      </c>
      <c r="K6" s="6" t="s">
        <v>33</v>
      </c>
      <c r="L6" s="12" t="s">
        <v>34</v>
      </c>
    </row>
    <row r="7" spans="1:15" x14ac:dyDescent="0.25">
      <c r="C7" s="3" t="s">
        <v>3</v>
      </c>
      <c r="D7" s="9">
        <v>45139</v>
      </c>
      <c r="E7" s="7">
        <v>874</v>
      </c>
      <c r="F7" s="11">
        <f>(E7-$O$4)/$O$5</f>
        <v>-0.80224465939705336</v>
      </c>
      <c r="G7" s="11" t="str">
        <f>IF(ABS(F7)&gt;3,"Yes","No")</f>
        <v>No</v>
      </c>
      <c r="H7" s="11">
        <f>AVERAGEIFS($E$7:$E$229,$C$7:$C$229,C7)</f>
        <v>1907.3636363636363</v>
      </c>
      <c r="I7" s="11" cm="1">
        <f t="array" ref="I7">_xlfn.STDEV.P(_xlfn._xlws.FILTER($E$7:$E$229,$C$7:$C$229=C7))</f>
        <v>1789.0284957701724</v>
      </c>
      <c r="J7" s="11">
        <f>(E7-H7)/I7</f>
        <v>-0.57761161368129899</v>
      </c>
      <c r="K7" s="11" t="str">
        <f>IF(ABS(J7)&gt;3,"Yes","No")</f>
        <v>No</v>
      </c>
      <c r="L7" s="11">
        <f t="array" ref="L7">_xlfn.STDEV.P(IF($C$7:$C$229=C7,$E$7:$E$229))</f>
        <v>1789.0284957701724</v>
      </c>
    </row>
    <row r="8" spans="1:15" x14ac:dyDescent="0.25">
      <c r="C8" s="3" t="s">
        <v>4</v>
      </c>
      <c r="D8" s="9">
        <v>45139</v>
      </c>
      <c r="E8" s="7">
        <v>3504</v>
      </c>
      <c r="F8" s="11">
        <f t="shared" ref="F8:F71" si="0">(E8-$O$4)/$O$5</f>
        <v>0.112506127099053</v>
      </c>
      <c r="G8" s="11" t="str">
        <f t="shared" ref="G8:G71" si="1">IF(ABS(F8)&gt;3,"Yes","No")</f>
        <v>No</v>
      </c>
      <c r="H8" s="11">
        <f t="shared" ref="H8:H71" si="2">AVERAGEIFS($E$7:$E$229,$C$7:$C$229,C8)</f>
        <v>3431.2307692307691</v>
      </c>
      <c r="I8" s="11" cm="1">
        <f t="array" ref="I8">_xlfn.STDEV.P(_xlfn._xlws.FILTER($E$7:$E$229,$C$7:$C$229=C8))</f>
        <v>1767.6265770734303</v>
      </c>
      <c r="J8" s="11">
        <f t="shared" ref="J8:J71" si="3">(E8-H8)/I8</f>
        <v>4.1167762305153427E-2</v>
      </c>
      <c r="K8" s="11" t="str">
        <f t="shared" ref="K8:K71" si="4">IF(ABS(J8)&gt;3,"Yes","No")</f>
        <v>No</v>
      </c>
      <c r="L8" s="11">
        <f t="array" ref="L8">_xlfn.STDEV.P(IF($C$7:$C$229=C8,$E$7:$E$229))</f>
        <v>1767.6265770734303</v>
      </c>
    </row>
    <row r="9" spans="1:15" x14ac:dyDescent="0.25">
      <c r="C9" s="3" t="s">
        <v>5</v>
      </c>
      <c r="D9" s="9">
        <v>45139</v>
      </c>
      <c r="E9" s="7">
        <v>2492</v>
      </c>
      <c r="F9" s="11">
        <f t="shared" si="0"/>
        <v>-0.23948162800895445</v>
      </c>
      <c r="G9" s="11" t="str">
        <f t="shared" si="1"/>
        <v>No</v>
      </c>
      <c r="H9" s="11">
        <f t="shared" si="2"/>
        <v>2272.2666666666669</v>
      </c>
      <c r="I9" s="11" cm="1">
        <f t="array" ref="I9">_xlfn.STDEV.P(_xlfn._xlws.FILTER($E$7:$E$229,$C$7:$C$229=C9))</f>
        <v>1107.5620353832205</v>
      </c>
      <c r="J9" s="11">
        <f t="shared" si="3"/>
        <v>0.19839370284780897</v>
      </c>
      <c r="K9" s="11" t="str">
        <f t="shared" si="4"/>
        <v>No</v>
      </c>
      <c r="L9" s="11">
        <f t="array" ref="L9">_xlfn.STDEV.P(IF($C$7:$C$229=C9,$E$7:$E$229))</f>
        <v>1107.5620353832205</v>
      </c>
    </row>
    <row r="10" spans="1:15" x14ac:dyDescent="0.25">
      <c r="C10" s="3" t="s">
        <v>6</v>
      </c>
      <c r="D10" s="9">
        <v>45139</v>
      </c>
      <c r="E10" s="7">
        <v>5486</v>
      </c>
      <c r="F10" s="11">
        <f t="shared" si="0"/>
        <v>0.80187344985011111</v>
      </c>
      <c r="G10" s="11" t="str">
        <f t="shared" si="1"/>
        <v>No</v>
      </c>
      <c r="H10" s="11">
        <f t="shared" si="2"/>
        <v>2821</v>
      </c>
      <c r="I10" s="11" cm="1">
        <f t="array" ref="I10">_xlfn.STDEV.P(_xlfn._xlws.FILTER($E$7:$E$229,$C$7:$C$229=C10))</f>
        <v>1953.5815128304032</v>
      </c>
      <c r="J10" s="11">
        <f t="shared" si="3"/>
        <v>1.3641611483817093</v>
      </c>
      <c r="K10" s="11" t="str">
        <f t="shared" si="4"/>
        <v>No</v>
      </c>
      <c r="L10" s="11">
        <f t="array" ref="L10">_xlfn.STDEV.P(IF($C$7:$C$229=C10,$E$7:$E$229))</f>
        <v>1953.5815128304032</v>
      </c>
    </row>
    <row r="11" spans="1:15" x14ac:dyDescent="0.25">
      <c r="C11" s="3" t="s">
        <v>7</v>
      </c>
      <c r="D11" s="9">
        <v>45139</v>
      </c>
      <c r="E11" s="7">
        <v>9091</v>
      </c>
      <c r="F11" s="11">
        <f t="shared" si="0"/>
        <v>2.0557428739255728</v>
      </c>
      <c r="G11" s="11" t="str">
        <f t="shared" si="1"/>
        <v>No</v>
      </c>
      <c r="H11" s="11">
        <f t="shared" si="2"/>
        <v>3071.4444444444443</v>
      </c>
      <c r="I11" s="11" cm="1">
        <f t="array" ref="I11">_xlfn.STDEV.P(_xlfn._xlws.FILTER($E$7:$E$229,$C$7:$C$229=C11))</f>
        <v>2793.5250575059426</v>
      </c>
      <c r="J11" s="11">
        <f t="shared" si="3"/>
        <v>2.1548242566794125</v>
      </c>
      <c r="K11" s="11" t="str">
        <f t="shared" si="4"/>
        <v>No</v>
      </c>
      <c r="L11" s="11">
        <f t="array" ref="L11">_xlfn.STDEV.P(IF($C$7:$C$229=C11,$E$7:$E$229))</f>
        <v>2793.5250575059426</v>
      </c>
    </row>
    <row r="12" spans="1:15" x14ac:dyDescent="0.25">
      <c r="C12" s="3" t="s">
        <v>8</v>
      </c>
      <c r="D12" s="9">
        <v>45140</v>
      </c>
      <c r="E12" s="7">
        <v>9456</v>
      </c>
      <c r="F12" s="11">
        <f t="shared" si="0"/>
        <v>2.1826949792757926</v>
      </c>
      <c r="G12" s="11" t="str">
        <f t="shared" si="1"/>
        <v>No</v>
      </c>
      <c r="H12" s="11">
        <f t="shared" si="2"/>
        <v>2944.3333333333335</v>
      </c>
      <c r="I12" s="11" cm="1">
        <f t="array" ref="I12">_xlfn.STDEV.P(_xlfn._xlws.FILTER($E$7:$E$229,$C$7:$C$229=C12))</f>
        <v>3080.6774507493569</v>
      </c>
      <c r="J12" s="11">
        <f t="shared" si="3"/>
        <v>2.1137125748373107</v>
      </c>
      <c r="K12" s="11" t="str">
        <f t="shared" si="4"/>
        <v>No</v>
      </c>
      <c r="L12" s="11">
        <f t="array" ref="L12">_xlfn.STDEV.P(IF($C$7:$C$229=C12,$E$7:$E$229))</f>
        <v>3080.6774507493569</v>
      </c>
    </row>
    <row r="13" spans="1:15" x14ac:dyDescent="0.25">
      <c r="C13" s="3" t="s">
        <v>9</v>
      </c>
      <c r="D13" s="9">
        <v>45140</v>
      </c>
      <c r="E13" s="7">
        <v>1568</v>
      </c>
      <c r="F13" s="11">
        <f t="shared" si="0"/>
        <v>-0.56086175223800472</v>
      </c>
      <c r="G13" s="11" t="str">
        <f t="shared" si="1"/>
        <v>No</v>
      </c>
      <c r="H13" s="11">
        <f t="shared" si="2"/>
        <v>4605.5</v>
      </c>
      <c r="I13" s="11" cm="1">
        <f t="array" ref="I13">_xlfn.STDEV.P(_xlfn._xlws.FILTER($E$7:$E$229,$C$7:$C$229=C13))</f>
        <v>5152.1539815886708</v>
      </c>
      <c r="J13" s="11">
        <f t="shared" si="3"/>
        <v>-0.5895592427661458</v>
      </c>
      <c r="K13" s="11" t="str">
        <f t="shared" si="4"/>
        <v>No</v>
      </c>
      <c r="L13" s="11">
        <f t="array" ref="L13">_xlfn.STDEV.P(IF($C$7:$C$229=C13,$E$7:$E$229))</f>
        <v>5152.1539815886708</v>
      </c>
    </row>
    <row r="14" spans="1:15" x14ac:dyDescent="0.25">
      <c r="C14" s="3" t="s">
        <v>10</v>
      </c>
      <c r="D14" s="9">
        <v>45140</v>
      </c>
      <c r="E14" s="7">
        <v>3220</v>
      </c>
      <c r="F14" s="11">
        <f t="shared" si="0"/>
        <v>1.3726954716963953E-2</v>
      </c>
      <c r="G14" s="11" t="str">
        <f t="shared" si="1"/>
        <v>No</v>
      </c>
      <c r="H14" s="11">
        <f t="shared" si="2"/>
        <v>2962.3846153846152</v>
      </c>
      <c r="I14" s="11" cm="1">
        <f t="array" ref="I14">_xlfn.STDEV.P(_xlfn._xlws.FILTER($E$7:$E$229,$C$7:$C$229=C14))</f>
        <v>2237.9254658126006</v>
      </c>
      <c r="J14" s="11">
        <f t="shared" si="3"/>
        <v>0.11511347833107725</v>
      </c>
      <c r="K14" s="11" t="str">
        <f t="shared" si="4"/>
        <v>No</v>
      </c>
      <c r="L14" s="11">
        <f t="array" ref="L14">_xlfn.STDEV.P(IF($C$7:$C$229=C14,$E$7:$E$229))</f>
        <v>2237.9254658126006</v>
      </c>
    </row>
    <row r="15" spans="1:15" x14ac:dyDescent="0.25">
      <c r="C15" s="3" t="s">
        <v>11</v>
      </c>
      <c r="D15" s="9">
        <v>45140</v>
      </c>
      <c r="E15" s="7">
        <v>1749</v>
      </c>
      <c r="F15" s="11">
        <f t="shared" si="0"/>
        <v>-0.49790742054378601</v>
      </c>
      <c r="G15" s="11" t="str">
        <f t="shared" si="1"/>
        <v>No</v>
      </c>
      <c r="H15" s="11">
        <f t="shared" si="2"/>
        <v>3233.2</v>
      </c>
      <c r="I15" s="11" cm="1">
        <f t="array" ref="I15">_xlfn.STDEV.P(_xlfn._xlws.FILTER($E$7:$E$229,$C$7:$C$229=C15))</f>
        <v>1528.3663696901995</v>
      </c>
      <c r="J15" s="11">
        <f t="shared" si="3"/>
        <v>-0.97110223663246908</v>
      </c>
      <c r="K15" s="11" t="str">
        <f t="shared" si="4"/>
        <v>No</v>
      </c>
      <c r="L15" s="11">
        <f t="array" ref="L15">_xlfn.STDEV.P(IF($C$7:$C$229=C15,$E$7:$E$229))</f>
        <v>1528.3663696901995</v>
      </c>
    </row>
    <row r="16" spans="1:15" x14ac:dyDescent="0.25">
      <c r="C16" s="3" t="s">
        <v>7</v>
      </c>
      <c r="D16" s="9">
        <v>45140</v>
      </c>
      <c r="E16" s="7">
        <v>3302</v>
      </c>
      <c r="F16" s="11">
        <f t="shared" si="0"/>
        <v>4.2247701672355864E-2</v>
      </c>
      <c r="G16" s="11" t="str">
        <f t="shared" si="1"/>
        <v>No</v>
      </c>
      <c r="H16" s="11">
        <f t="shared" si="2"/>
        <v>3071.4444444444443</v>
      </c>
      <c r="I16" s="11" cm="1">
        <f t="array" ref="I16">_xlfn.STDEV.P(_xlfn._xlws.FILTER($E$7:$E$229,$C$7:$C$229=C16))</f>
        <v>2793.5250575059426</v>
      </c>
      <c r="J16" s="11">
        <f t="shared" si="3"/>
        <v>8.2532123682253808E-2</v>
      </c>
      <c r="K16" s="11" t="str">
        <f t="shared" si="4"/>
        <v>No</v>
      </c>
      <c r="L16" s="11">
        <f t="array" ref="L16">_xlfn.STDEV.P(IF($C$7:$C$229=C16,$E$7:$E$229))</f>
        <v>2793.5250575059426</v>
      </c>
    </row>
    <row r="17" spans="3:12" x14ac:dyDescent="0.25">
      <c r="C17" s="3" t="s">
        <v>12</v>
      </c>
      <c r="D17" s="9">
        <v>45140</v>
      </c>
      <c r="E17" s="7">
        <v>484</v>
      </c>
      <c r="F17" s="11">
        <f t="shared" si="0"/>
        <v>-0.93789211442879539</v>
      </c>
      <c r="G17" s="11" t="str">
        <f t="shared" si="1"/>
        <v>No</v>
      </c>
      <c r="H17" s="11">
        <f t="shared" si="2"/>
        <v>1303.875</v>
      </c>
      <c r="I17" s="11" cm="1">
        <f t="array" ref="I17">_xlfn.STDEV.P(_xlfn._xlws.FILTER($E$7:$E$229,$C$7:$C$229=C17))</f>
        <v>981.3998213648706</v>
      </c>
      <c r="J17" s="11">
        <f t="shared" si="3"/>
        <v>-0.83541384678445141</v>
      </c>
      <c r="K17" s="11" t="str">
        <f t="shared" si="4"/>
        <v>No</v>
      </c>
      <c r="L17" s="11">
        <f t="array" ref="L17">_xlfn.STDEV.P(IF($C$7:$C$229=C17,$E$7:$E$229))</f>
        <v>981.3998213648706</v>
      </c>
    </row>
    <row r="18" spans="3:12" x14ac:dyDescent="0.25">
      <c r="C18" s="3" t="s">
        <v>13</v>
      </c>
      <c r="D18" s="9">
        <v>45140</v>
      </c>
      <c r="E18" s="7">
        <v>1407</v>
      </c>
      <c r="F18" s="11">
        <f t="shared" si="0"/>
        <v>-0.61685980418700592</v>
      </c>
      <c r="G18" s="11" t="str">
        <f t="shared" si="1"/>
        <v>No</v>
      </c>
      <c r="H18" s="11">
        <f t="shared" si="2"/>
        <v>2850.909090909091</v>
      </c>
      <c r="I18" s="11" cm="1">
        <f t="array" ref="I18">_xlfn.STDEV.P(_xlfn._xlws.FILTER($E$7:$E$229,$C$7:$C$229=C18))</f>
        <v>1739.0994249660814</v>
      </c>
      <c r="J18" s="11">
        <f t="shared" si="3"/>
        <v>-0.83026253138876882</v>
      </c>
      <c r="K18" s="11" t="str">
        <f t="shared" si="4"/>
        <v>No</v>
      </c>
      <c r="L18" s="11">
        <f t="array" ref="L18">_xlfn.STDEV.P(IF($C$7:$C$229=C18,$E$7:$E$229))</f>
        <v>1739.0994249660814</v>
      </c>
    </row>
    <row r="19" spans="3:12" x14ac:dyDescent="0.25">
      <c r="C19" s="3" t="s">
        <v>12</v>
      </c>
      <c r="D19" s="9">
        <v>45140</v>
      </c>
      <c r="E19" s="7">
        <v>345</v>
      </c>
      <c r="F19" s="11">
        <f t="shared" si="0"/>
        <v>-0.98623825865805725</v>
      </c>
      <c r="G19" s="11" t="str">
        <f t="shared" si="1"/>
        <v>No</v>
      </c>
      <c r="H19" s="11">
        <f t="shared" si="2"/>
        <v>1303.875</v>
      </c>
      <c r="I19" s="11" cm="1">
        <f t="array" ref="I19">_xlfn.STDEV.P(_xlfn._xlws.FILTER($E$7:$E$229,$C$7:$C$229=C19))</f>
        <v>981.3998213648706</v>
      </c>
      <c r="J19" s="11">
        <f t="shared" si="3"/>
        <v>-0.97704827240181835</v>
      </c>
      <c r="K19" s="11" t="str">
        <f t="shared" si="4"/>
        <v>No</v>
      </c>
      <c r="L19" s="11">
        <f t="array" ref="L19">_xlfn.STDEV.P(IF($C$7:$C$229=C19,$E$7:$E$229))</f>
        <v>981.3998213648706</v>
      </c>
    </row>
    <row r="20" spans="3:12" x14ac:dyDescent="0.25">
      <c r="C20" s="3" t="s">
        <v>14</v>
      </c>
      <c r="D20" s="9">
        <v>45140</v>
      </c>
      <c r="E20" s="7">
        <v>1154</v>
      </c>
      <c r="F20" s="11">
        <f t="shared" si="0"/>
        <v>-0.7048567429640078</v>
      </c>
      <c r="G20" s="11" t="str">
        <f t="shared" si="1"/>
        <v>No</v>
      </c>
      <c r="H20" s="11">
        <f t="shared" si="2"/>
        <v>3412.8</v>
      </c>
      <c r="I20" s="11" cm="1">
        <f t="array" ref="I20">_xlfn.STDEV.P(_xlfn._xlws.FILTER($E$7:$E$229,$C$7:$C$229=C20))</f>
        <v>1811.1240045894153</v>
      </c>
      <c r="J20" s="11">
        <f t="shared" si="3"/>
        <v>-1.2471813052425826</v>
      </c>
      <c r="K20" s="11" t="str">
        <f t="shared" si="4"/>
        <v>No</v>
      </c>
      <c r="L20" s="11">
        <f t="array" ref="L20">_xlfn.STDEV.P(IF($C$7:$C$229=C20,$E$7:$E$229))</f>
        <v>1811.1240045894153</v>
      </c>
    </row>
    <row r="21" spans="3:12" x14ac:dyDescent="0.25">
      <c r="C21" s="3" t="s">
        <v>12</v>
      </c>
      <c r="D21" s="9">
        <v>45140</v>
      </c>
      <c r="E21" s="7">
        <v>2217</v>
      </c>
      <c r="F21" s="11">
        <f t="shared" si="0"/>
        <v>-0.33513047450569561</v>
      </c>
      <c r="G21" s="11" t="str">
        <f t="shared" si="1"/>
        <v>No</v>
      </c>
      <c r="H21" s="11">
        <f t="shared" si="2"/>
        <v>1303.875</v>
      </c>
      <c r="I21" s="11" cm="1">
        <f t="array" ref="I21">_xlfn.STDEV.P(_xlfn._xlws.FILTER($E$7:$E$229,$C$7:$C$229=C21))</f>
        <v>981.3998213648706</v>
      </c>
      <c r="J21" s="11">
        <f t="shared" si="3"/>
        <v>0.93043118627236132</v>
      </c>
      <c r="K21" s="11" t="str">
        <f t="shared" si="4"/>
        <v>No</v>
      </c>
      <c r="L21" s="11">
        <f t="array" ref="L21">_xlfn.STDEV.P(IF($C$7:$C$229=C21,$E$7:$E$229))</f>
        <v>981.3998213648706</v>
      </c>
    </row>
    <row r="22" spans="3:12" x14ac:dyDescent="0.25">
      <c r="C22" s="3" t="s">
        <v>15</v>
      </c>
      <c r="D22" s="9">
        <v>45140</v>
      </c>
      <c r="E22" s="7">
        <v>4123</v>
      </c>
      <c r="F22" s="11">
        <f t="shared" si="0"/>
        <v>0.32780298521353585</v>
      </c>
      <c r="G22" s="11" t="str">
        <f t="shared" si="1"/>
        <v>No</v>
      </c>
      <c r="H22" s="11">
        <f t="shared" si="2"/>
        <v>2350.6363636363635</v>
      </c>
      <c r="I22" s="11" cm="1">
        <f t="array" ref="I22">_xlfn.STDEV.P(_xlfn._xlws.FILTER($E$7:$E$229,$C$7:$C$229=C22))</f>
        <v>1376.1198595211811</v>
      </c>
      <c r="J22" s="11">
        <f t="shared" si="3"/>
        <v>1.2879427791851852</v>
      </c>
      <c r="K22" s="11" t="str">
        <f t="shared" si="4"/>
        <v>No</v>
      </c>
      <c r="L22" s="11">
        <f t="array" ref="L22">_xlfn.STDEV.P(IF($C$7:$C$229=C22,$E$7:$E$229))</f>
        <v>1376.1198595211811</v>
      </c>
    </row>
    <row r="23" spans="3:12" x14ac:dyDescent="0.25">
      <c r="C23" s="3" t="s">
        <v>16</v>
      </c>
      <c r="D23" s="9">
        <v>45140</v>
      </c>
      <c r="E23" s="7">
        <v>1572</v>
      </c>
      <c r="F23" s="11">
        <f t="shared" si="0"/>
        <v>-0.55947049628896128</v>
      </c>
      <c r="G23" s="11" t="str">
        <f t="shared" si="1"/>
        <v>No</v>
      </c>
      <c r="H23" s="11">
        <f t="shared" si="2"/>
        <v>2130.3076923076924</v>
      </c>
      <c r="I23" s="11" cm="1">
        <f t="array" ref="I23">_xlfn.STDEV.P(_xlfn._xlws.FILTER($E$7:$E$229,$C$7:$C$229=C23))</f>
        <v>1844.0647571065304</v>
      </c>
      <c r="J23" s="11">
        <f t="shared" si="3"/>
        <v>-0.3027592659943879</v>
      </c>
      <c r="K23" s="11" t="str">
        <f t="shared" si="4"/>
        <v>No</v>
      </c>
      <c r="L23" s="11">
        <f t="array" ref="L23">_xlfn.STDEV.P(IF($C$7:$C$229=C23,$E$7:$E$229))</f>
        <v>1844.0647571065304</v>
      </c>
    </row>
    <row r="24" spans="3:12" x14ac:dyDescent="0.25">
      <c r="C24" s="3" t="s">
        <v>9</v>
      </c>
      <c r="D24" s="9">
        <v>45141</v>
      </c>
      <c r="E24" s="7">
        <v>1118</v>
      </c>
      <c r="F24" s="11">
        <f t="shared" si="0"/>
        <v>-0.71737804650539938</v>
      </c>
      <c r="G24" s="11" t="str">
        <f t="shared" si="1"/>
        <v>No</v>
      </c>
      <c r="H24" s="11">
        <f t="shared" si="2"/>
        <v>4605.5</v>
      </c>
      <c r="I24" s="11" cm="1">
        <f t="array" ref="I24">_xlfn.STDEV.P(_xlfn._xlws.FILTER($E$7:$E$229,$C$7:$C$229=C24))</f>
        <v>5152.1539815886708</v>
      </c>
      <c r="J24" s="11">
        <f t="shared" si="3"/>
        <v>-0.67690135280557484</v>
      </c>
      <c r="K24" s="11" t="str">
        <f t="shared" si="4"/>
        <v>No</v>
      </c>
      <c r="L24" s="11">
        <f t="array" ref="L24">_xlfn.STDEV.P(IF($C$7:$C$229=C24,$E$7:$E$229))</f>
        <v>5152.1539815886708</v>
      </c>
    </row>
    <row r="25" spans="3:12" x14ac:dyDescent="0.25">
      <c r="C25" s="3" t="s">
        <v>5</v>
      </c>
      <c r="D25" s="9">
        <v>45141</v>
      </c>
      <c r="E25" s="7">
        <v>2024</v>
      </c>
      <c r="F25" s="11">
        <f t="shared" si="0"/>
        <v>-0.40225857404704485</v>
      </c>
      <c r="G25" s="11" t="str">
        <f t="shared" si="1"/>
        <v>No</v>
      </c>
      <c r="H25" s="11">
        <f t="shared" si="2"/>
        <v>2272.2666666666669</v>
      </c>
      <c r="I25" s="11" cm="1">
        <f t="array" ref="I25">_xlfn.STDEV.P(_xlfn._xlws.FILTER($E$7:$E$229,$C$7:$C$229=C25))</f>
        <v>1107.5620353832205</v>
      </c>
      <c r="J25" s="11">
        <f t="shared" si="3"/>
        <v>-0.22415599193120203</v>
      </c>
      <c r="K25" s="11" t="str">
        <f t="shared" si="4"/>
        <v>No</v>
      </c>
      <c r="L25" s="11">
        <f t="array" ref="L25">_xlfn.STDEV.P(IF($C$7:$C$229=C25,$E$7:$E$229))</f>
        <v>1107.5620353832205</v>
      </c>
    </row>
    <row r="26" spans="3:12" x14ac:dyDescent="0.25">
      <c r="C26" s="3" t="s">
        <v>15</v>
      </c>
      <c r="D26" s="9">
        <v>45141</v>
      </c>
      <c r="E26" s="7">
        <v>397</v>
      </c>
      <c r="F26" s="11">
        <f t="shared" si="0"/>
        <v>-0.9681519313204916</v>
      </c>
      <c r="G26" s="11" t="str">
        <f t="shared" si="1"/>
        <v>No</v>
      </c>
      <c r="H26" s="11">
        <f t="shared" si="2"/>
        <v>2350.6363636363635</v>
      </c>
      <c r="I26" s="11" cm="1">
        <f t="array" ref="I26">_xlfn.STDEV.P(_xlfn._xlws.FILTER($E$7:$E$229,$C$7:$C$229=C26))</f>
        <v>1376.1198595211811</v>
      </c>
      <c r="J26" s="11">
        <f t="shared" si="3"/>
        <v>-1.4196702054108343</v>
      </c>
      <c r="K26" s="11" t="str">
        <f t="shared" si="4"/>
        <v>No</v>
      </c>
      <c r="L26" s="11">
        <f t="array" ref="L26">_xlfn.STDEV.P(IF($C$7:$C$229=C26,$E$7:$E$229))</f>
        <v>1376.1198595211811</v>
      </c>
    </row>
    <row r="27" spans="3:12" x14ac:dyDescent="0.25">
      <c r="C27" s="3" t="s">
        <v>11</v>
      </c>
      <c r="D27" s="9">
        <v>45141</v>
      </c>
      <c r="E27" s="7">
        <v>3556</v>
      </c>
      <c r="F27" s="11">
        <f t="shared" si="0"/>
        <v>0.1305924544366186</v>
      </c>
      <c r="G27" s="11" t="str">
        <f t="shared" si="1"/>
        <v>No</v>
      </c>
      <c r="H27" s="11">
        <f t="shared" si="2"/>
        <v>3233.2</v>
      </c>
      <c r="I27" s="11" cm="1">
        <f t="array" ref="I27">_xlfn.STDEV.P(_xlfn._xlws.FILTER($E$7:$E$229,$C$7:$C$229=C27))</f>
        <v>1528.3663696901995</v>
      </c>
      <c r="J27" s="11">
        <f t="shared" si="3"/>
        <v>0.21120590350691365</v>
      </c>
      <c r="K27" s="11" t="str">
        <f t="shared" si="4"/>
        <v>No</v>
      </c>
      <c r="L27" s="11">
        <f t="array" ref="L27">_xlfn.STDEV.P(IF($C$7:$C$229=C27,$E$7:$E$229))</f>
        <v>1528.3663696901995</v>
      </c>
    </row>
    <row r="28" spans="3:12" x14ac:dyDescent="0.25">
      <c r="C28" s="3" t="s">
        <v>17</v>
      </c>
      <c r="D28" s="9">
        <v>45141</v>
      </c>
      <c r="E28" s="7">
        <v>1277</v>
      </c>
      <c r="F28" s="11">
        <f t="shared" si="0"/>
        <v>-0.66207562253091989</v>
      </c>
      <c r="G28" s="11" t="str">
        <f t="shared" si="1"/>
        <v>No</v>
      </c>
      <c r="H28" s="11">
        <f t="shared" si="2"/>
        <v>2993.2222222222222</v>
      </c>
      <c r="I28" s="11" cm="1">
        <f t="array" ref="I28">_xlfn.STDEV.P(_xlfn._xlws.FILTER($E$7:$E$229,$C$7:$C$229=C28))</f>
        <v>2152.7507353140218</v>
      </c>
      <c r="J28" s="11">
        <f t="shared" si="3"/>
        <v>-0.79722291766950748</v>
      </c>
      <c r="K28" s="11" t="str">
        <f t="shared" si="4"/>
        <v>No</v>
      </c>
      <c r="L28" s="11">
        <f t="array" ref="L28">_xlfn.STDEV.P(IF($C$7:$C$229=C28,$E$7:$E$229))</f>
        <v>2152.7507353140218</v>
      </c>
    </row>
    <row r="29" spans="3:12" x14ac:dyDescent="0.25">
      <c r="C29" s="3" t="s">
        <v>18</v>
      </c>
      <c r="D29" s="9">
        <v>45142</v>
      </c>
      <c r="E29" s="7">
        <v>4249</v>
      </c>
      <c r="F29" s="11">
        <f t="shared" si="0"/>
        <v>0.37162754760840633</v>
      </c>
      <c r="G29" s="11" t="str">
        <f t="shared" si="1"/>
        <v>No</v>
      </c>
      <c r="H29" s="11">
        <f t="shared" si="2"/>
        <v>4742.1111111111113</v>
      </c>
      <c r="I29" s="11" cm="1">
        <f t="array" ref="I29">_xlfn.STDEV.P(_xlfn._xlws.FILTER($E$7:$E$229,$C$7:$C$229=C29))</f>
        <v>3593.1069330175474</v>
      </c>
      <c r="J29" s="11">
        <f t="shared" si="3"/>
        <v>-0.13723808400463855</v>
      </c>
      <c r="K29" s="11" t="str">
        <f t="shared" si="4"/>
        <v>No</v>
      </c>
      <c r="L29" s="11">
        <f t="array" ref="L29">_xlfn.STDEV.P(IF($C$7:$C$229=C29,$E$7:$E$229))</f>
        <v>3593.1069330175474</v>
      </c>
    </row>
    <row r="30" spans="3:12" x14ac:dyDescent="0.25">
      <c r="C30" s="3" t="s">
        <v>19</v>
      </c>
      <c r="D30" s="9">
        <v>45142</v>
      </c>
      <c r="E30" s="7">
        <v>1064</v>
      </c>
      <c r="F30" s="11">
        <f t="shared" si="0"/>
        <v>-0.73616000181748675</v>
      </c>
      <c r="G30" s="11" t="str">
        <f t="shared" si="1"/>
        <v>No</v>
      </c>
      <c r="H30" s="11">
        <f t="shared" si="2"/>
        <v>2891.3571428571427</v>
      </c>
      <c r="I30" s="11" cm="1">
        <f t="array" ref="I30">_xlfn.STDEV.P(_xlfn._xlws.FILTER($E$7:$E$229,$C$7:$C$229=C30))</f>
        <v>2696.5477031393534</v>
      </c>
      <c r="J30" s="11">
        <f t="shared" si="3"/>
        <v>-0.67766542410123554</v>
      </c>
      <c r="K30" s="11" t="str">
        <f t="shared" si="4"/>
        <v>No</v>
      </c>
      <c r="L30" s="11">
        <f t="array" ref="L30">_xlfn.STDEV.P(IF($C$7:$C$229=C30,$E$7:$E$229))</f>
        <v>2696.5477031393534</v>
      </c>
    </row>
    <row r="31" spans="3:12" x14ac:dyDescent="0.25">
      <c r="C31" s="3" t="s">
        <v>15</v>
      </c>
      <c r="D31" s="9">
        <v>45142</v>
      </c>
      <c r="E31" s="7">
        <v>4841</v>
      </c>
      <c r="F31" s="11">
        <f t="shared" si="0"/>
        <v>0.57753342806684549</v>
      </c>
      <c r="G31" s="11" t="str">
        <f t="shared" si="1"/>
        <v>No</v>
      </c>
      <c r="H31" s="11">
        <f t="shared" si="2"/>
        <v>2350.6363636363635</v>
      </c>
      <c r="I31" s="11" cm="1">
        <f t="array" ref="I31">_xlfn.STDEV.P(_xlfn._xlws.FILTER($E$7:$E$229,$C$7:$C$229=C31))</f>
        <v>1376.1198595211811</v>
      </c>
      <c r="J31" s="11">
        <f t="shared" si="3"/>
        <v>1.8096996559806606</v>
      </c>
      <c r="K31" s="11" t="str">
        <f t="shared" si="4"/>
        <v>No</v>
      </c>
      <c r="L31" s="11">
        <f t="array" ref="L31">_xlfn.STDEV.P(IF($C$7:$C$229=C31,$E$7:$E$229))</f>
        <v>1376.1198595211811</v>
      </c>
    </row>
    <row r="32" spans="3:12" x14ac:dyDescent="0.25">
      <c r="C32" s="3" t="s">
        <v>12</v>
      </c>
      <c r="D32" s="9">
        <v>45142</v>
      </c>
      <c r="E32" s="7">
        <v>315</v>
      </c>
      <c r="F32" s="11">
        <f t="shared" si="0"/>
        <v>-0.99667267827588357</v>
      </c>
      <c r="G32" s="11" t="str">
        <f t="shared" si="1"/>
        <v>No</v>
      </c>
      <c r="H32" s="11">
        <f t="shared" si="2"/>
        <v>1303.875</v>
      </c>
      <c r="I32" s="11" cm="1">
        <f t="array" ref="I32">_xlfn.STDEV.P(_xlfn._xlws.FILTER($E$7:$E$229,$C$7:$C$229=C32))</f>
        <v>981.3998213648706</v>
      </c>
      <c r="J32" s="11">
        <f t="shared" si="3"/>
        <v>-1.0076168534703149</v>
      </c>
      <c r="K32" s="11" t="str">
        <f t="shared" si="4"/>
        <v>No</v>
      </c>
      <c r="L32" s="11">
        <f t="array" ref="L32">_xlfn.STDEV.P(IF($C$7:$C$229=C32,$E$7:$E$229))</f>
        <v>981.3998213648706</v>
      </c>
    </row>
    <row r="33" spans="3:12" x14ac:dyDescent="0.25">
      <c r="C33" s="3" t="s">
        <v>20</v>
      </c>
      <c r="D33" s="9">
        <v>45142</v>
      </c>
      <c r="E33" s="7">
        <v>8375</v>
      </c>
      <c r="F33" s="11">
        <f t="shared" si="0"/>
        <v>1.8067080590467848</v>
      </c>
      <c r="G33" s="11" t="str">
        <f t="shared" si="1"/>
        <v>No</v>
      </c>
      <c r="H33" s="11">
        <f t="shared" si="2"/>
        <v>7666.25</v>
      </c>
      <c r="I33" s="11" cm="1">
        <f t="array" ref="I33">_xlfn.STDEV.P(_xlfn._xlws.FILTER($E$7:$E$229,$C$7:$C$229=C33))</f>
        <v>3189.3846095289291</v>
      </c>
      <c r="J33" s="11">
        <f t="shared" si="3"/>
        <v>0.22222155267272142</v>
      </c>
      <c r="K33" s="11" t="str">
        <f t="shared" si="4"/>
        <v>No</v>
      </c>
      <c r="L33" s="11">
        <f t="array" ref="L33">_xlfn.STDEV.P(IF($C$7:$C$229=C33,$E$7:$E$229))</f>
        <v>3189.3846095289291</v>
      </c>
    </row>
    <row r="34" spans="3:12" x14ac:dyDescent="0.25">
      <c r="C34" s="3" t="s">
        <v>8</v>
      </c>
      <c r="D34" s="9">
        <v>45142</v>
      </c>
      <c r="E34" s="7">
        <v>687</v>
      </c>
      <c r="F34" s="11">
        <f t="shared" si="0"/>
        <v>-0.86728587501483734</v>
      </c>
      <c r="G34" s="11" t="str">
        <f t="shared" si="1"/>
        <v>No</v>
      </c>
      <c r="H34" s="11">
        <f t="shared" si="2"/>
        <v>2944.3333333333335</v>
      </c>
      <c r="I34" s="11" cm="1">
        <f t="array" ref="I34">_xlfn.STDEV.P(_xlfn._xlws.FILTER($E$7:$E$229,$C$7:$C$229=C34))</f>
        <v>3080.6774507493569</v>
      </c>
      <c r="J34" s="11">
        <f t="shared" si="3"/>
        <v>-0.7327392657690438</v>
      </c>
      <c r="K34" s="11" t="str">
        <f t="shared" si="4"/>
        <v>No</v>
      </c>
      <c r="L34" s="11">
        <f t="array" ref="L34">_xlfn.STDEV.P(IF($C$7:$C$229=C34,$E$7:$E$229))</f>
        <v>3080.6774507493569</v>
      </c>
    </row>
    <row r="35" spans="3:12" x14ac:dyDescent="0.25">
      <c r="C35" s="3" t="s">
        <v>3</v>
      </c>
      <c r="D35" s="9">
        <v>45142</v>
      </c>
      <c r="E35" s="7">
        <v>1873</v>
      </c>
      <c r="F35" s="11">
        <f t="shared" si="0"/>
        <v>-0.4547784861234373</v>
      </c>
      <c r="G35" s="11" t="str">
        <f t="shared" si="1"/>
        <v>No</v>
      </c>
      <c r="H35" s="11">
        <f t="shared" si="2"/>
        <v>1907.3636363636363</v>
      </c>
      <c r="I35" s="11" cm="1">
        <f t="array" ref="I35">_xlfn.STDEV.P(_xlfn._xlws.FILTER($E$7:$E$229,$C$7:$C$229=C35))</f>
        <v>1789.0284957701724</v>
      </c>
      <c r="J35" s="11">
        <f t="shared" si="3"/>
        <v>-1.9207987153297298E-2</v>
      </c>
      <c r="K35" s="11" t="str">
        <f t="shared" si="4"/>
        <v>No</v>
      </c>
      <c r="L35" s="11">
        <f t="array" ref="L35">_xlfn.STDEV.P(IF($C$7:$C$229=C35,$E$7:$E$229))</f>
        <v>1789.0284957701724</v>
      </c>
    </row>
    <row r="36" spans="3:12" x14ac:dyDescent="0.25">
      <c r="C36" s="3" t="s">
        <v>5</v>
      </c>
      <c r="D36" s="9">
        <v>45142</v>
      </c>
      <c r="E36" s="7">
        <v>2965</v>
      </c>
      <c r="F36" s="11">
        <f t="shared" si="0"/>
        <v>-7.4965612034559662E-2</v>
      </c>
      <c r="G36" s="11" t="str">
        <f t="shared" si="1"/>
        <v>No</v>
      </c>
      <c r="H36" s="11">
        <f t="shared" si="2"/>
        <v>2272.2666666666669</v>
      </c>
      <c r="I36" s="11" cm="1">
        <f t="array" ref="I36">_xlfn.STDEV.P(_xlfn._xlws.FILTER($E$7:$E$229,$C$7:$C$229=C36))</f>
        <v>1107.5620353832205</v>
      </c>
      <c r="J36" s="11">
        <f t="shared" si="3"/>
        <v>0.62545781744283502</v>
      </c>
      <c r="K36" s="11" t="str">
        <f t="shared" si="4"/>
        <v>No</v>
      </c>
      <c r="L36" s="11">
        <f t="array" ref="L36">_xlfn.STDEV.P(IF($C$7:$C$229=C36,$E$7:$E$229))</f>
        <v>1107.5620353832205</v>
      </c>
    </row>
    <row r="37" spans="3:12" x14ac:dyDescent="0.25">
      <c r="C37" s="3" t="s">
        <v>11</v>
      </c>
      <c r="D37" s="9">
        <v>45142</v>
      </c>
      <c r="E37" s="7">
        <v>3311</v>
      </c>
      <c r="F37" s="11">
        <f t="shared" si="0"/>
        <v>4.5378027557703753E-2</v>
      </c>
      <c r="G37" s="11" t="str">
        <f t="shared" si="1"/>
        <v>No</v>
      </c>
      <c r="H37" s="11">
        <f t="shared" si="2"/>
        <v>3233.2</v>
      </c>
      <c r="I37" s="11" cm="1">
        <f t="array" ref="I37">_xlfn.STDEV.P(_xlfn._xlws.FILTER($E$7:$E$229,$C$7:$C$229=C37))</f>
        <v>1528.3663696901995</v>
      </c>
      <c r="J37" s="11">
        <f t="shared" si="3"/>
        <v>5.0904025070749412E-2</v>
      </c>
      <c r="K37" s="11" t="str">
        <f t="shared" si="4"/>
        <v>No</v>
      </c>
      <c r="L37" s="11">
        <f t="array" ref="L37">_xlfn.STDEV.P(IF($C$7:$C$229=C37,$E$7:$E$229))</f>
        <v>1528.3663696901995</v>
      </c>
    </row>
    <row r="38" spans="3:12" x14ac:dyDescent="0.25">
      <c r="C38" s="3" t="s">
        <v>13</v>
      </c>
      <c r="D38" s="9">
        <v>45142</v>
      </c>
      <c r="E38" s="7">
        <v>1275</v>
      </c>
      <c r="F38" s="11">
        <f t="shared" si="0"/>
        <v>-0.66277125050544172</v>
      </c>
      <c r="G38" s="11" t="str">
        <f t="shared" si="1"/>
        <v>No</v>
      </c>
      <c r="H38" s="11">
        <f t="shared" si="2"/>
        <v>2850.909090909091</v>
      </c>
      <c r="I38" s="11" cm="1">
        <f t="array" ref="I38">_xlfn.STDEV.P(_xlfn._xlws.FILTER($E$7:$E$229,$C$7:$C$229=C38))</f>
        <v>1739.0994249660814</v>
      </c>
      <c r="J38" s="11">
        <f t="shared" si="3"/>
        <v>-0.90616388475881804</v>
      </c>
      <c r="K38" s="11" t="str">
        <f t="shared" si="4"/>
        <v>No</v>
      </c>
      <c r="L38" s="11">
        <f t="array" ref="L38">_xlfn.STDEV.P(IF($C$7:$C$229=C38,$E$7:$E$229))</f>
        <v>1739.0994249660814</v>
      </c>
    </row>
    <row r="39" spans="3:12" x14ac:dyDescent="0.25">
      <c r="C39" s="3" t="s">
        <v>12</v>
      </c>
      <c r="D39" s="9">
        <v>45145</v>
      </c>
      <c r="E39" s="7">
        <v>1538</v>
      </c>
      <c r="F39" s="11">
        <f t="shared" si="0"/>
        <v>-0.57129617185583104</v>
      </c>
      <c r="G39" s="11" t="str">
        <f t="shared" si="1"/>
        <v>No</v>
      </c>
      <c r="H39" s="11">
        <f t="shared" si="2"/>
        <v>1303.875</v>
      </c>
      <c r="I39" s="11" cm="1">
        <f t="array" ref="I39">_xlfn.STDEV.P(_xlfn._xlws.FILTER($E$7:$E$229,$C$7:$C$229=C39))</f>
        <v>981.3998213648706</v>
      </c>
      <c r="J39" s="11">
        <f t="shared" si="3"/>
        <v>0.23856230142205787</v>
      </c>
      <c r="K39" s="11" t="str">
        <f t="shared" si="4"/>
        <v>No</v>
      </c>
      <c r="L39" s="11">
        <f t="array" ref="L39">_xlfn.STDEV.P(IF($C$7:$C$229=C39,$E$7:$E$229))</f>
        <v>981.3998213648706</v>
      </c>
    </row>
    <row r="40" spans="3:12" x14ac:dyDescent="0.25">
      <c r="C40" s="3" t="s">
        <v>5</v>
      </c>
      <c r="D40" s="9">
        <v>45145</v>
      </c>
      <c r="E40" s="7">
        <v>4376</v>
      </c>
      <c r="F40" s="11">
        <f t="shared" si="0"/>
        <v>0.41579992399053767</v>
      </c>
      <c r="G40" s="11" t="str">
        <f t="shared" si="1"/>
        <v>No</v>
      </c>
      <c r="H40" s="11">
        <f t="shared" si="2"/>
        <v>2272.2666666666669</v>
      </c>
      <c r="I40" s="11" cm="1">
        <f t="array" ref="I40">_xlfn.STDEV.P(_xlfn._xlws.FILTER($E$7:$E$229,$C$7:$C$229=C40))</f>
        <v>1107.5620353832205</v>
      </c>
      <c r="J40" s="11">
        <f t="shared" si="3"/>
        <v>1.8994270895222891</v>
      </c>
      <c r="K40" s="11" t="str">
        <f t="shared" si="4"/>
        <v>No</v>
      </c>
      <c r="L40" s="11">
        <f t="array" ref="L40">_xlfn.STDEV.P(IF($C$7:$C$229=C40,$E$7:$E$229))</f>
        <v>1107.5620353832205</v>
      </c>
    </row>
    <row r="41" spans="3:12" x14ac:dyDescent="0.25">
      <c r="C41" s="3" t="s">
        <v>12</v>
      </c>
      <c r="D41" s="9">
        <v>45145</v>
      </c>
      <c r="E41" s="7">
        <v>2539</v>
      </c>
      <c r="F41" s="11">
        <f t="shared" si="0"/>
        <v>-0.22313437060769326</v>
      </c>
      <c r="G41" s="11" t="str">
        <f t="shared" si="1"/>
        <v>No</v>
      </c>
      <c r="H41" s="11">
        <f t="shared" si="2"/>
        <v>1303.875</v>
      </c>
      <c r="I41" s="11" cm="1">
        <f t="array" ref="I41">_xlfn.STDEV.P(_xlfn._xlws.FILTER($E$7:$E$229,$C$7:$C$229=C41))</f>
        <v>981.3998213648706</v>
      </c>
      <c r="J41" s="11">
        <f t="shared" si="3"/>
        <v>1.2585339564075566</v>
      </c>
      <c r="K41" s="11" t="str">
        <f t="shared" si="4"/>
        <v>No</v>
      </c>
      <c r="L41" s="11">
        <f t="array" ref="L41">_xlfn.STDEV.P(IF($C$7:$C$229=C41,$E$7:$E$229))</f>
        <v>981.3998213648706</v>
      </c>
    </row>
    <row r="42" spans="3:12" x14ac:dyDescent="0.25">
      <c r="C42" s="3" t="s">
        <v>16</v>
      </c>
      <c r="D42" s="9">
        <v>45145</v>
      </c>
      <c r="E42" s="7">
        <v>1874</v>
      </c>
      <c r="F42" s="11">
        <f t="shared" si="0"/>
        <v>-0.45443067213617638</v>
      </c>
      <c r="G42" s="11" t="str">
        <f t="shared" si="1"/>
        <v>No</v>
      </c>
      <c r="H42" s="11">
        <f t="shared" si="2"/>
        <v>2130.3076923076924</v>
      </c>
      <c r="I42" s="11" cm="1">
        <f t="array" ref="I42">_xlfn.STDEV.P(_xlfn._xlws.FILTER($E$7:$E$229,$C$7:$C$229=C42))</f>
        <v>1844.0647571065304</v>
      </c>
      <c r="J42" s="11">
        <f t="shared" si="3"/>
        <v>-0.13899061370808771</v>
      </c>
      <c r="K42" s="11" t="str">
        <f t="shared" si="4"/>
        <v>No</v>
      </c>
      <c r="L42" s="11">
        <f t="array" ref="L42">_xlfn.STDEV.P(IF($C$7:$C$229=C42,$E$7:$E$229))</f>
        <v>1844.0647571065304</v>
      </c>
    </row>
    <row r="43" spans="3:12" x14ac:dyDescent="0.25">
      <c r="C43" s="3" t="s">
        <v>19</v>
      </c>
      <c r="D43" s="9">
        <v>45145</v>
      </c>
      <c r="E43" s="7">
        <v>435</v>
      </c>
      <c r="F43" s="11">
        <f t="shared" si="0"/>
        <v>-0.9549349998045783</v>
      </c>
      <c r="G43" s="11" t="str">
        <f t="shared" si="1"/>
        <v>No</v>
      </c>
      <c r="H43" s="11">
        <f t="shared" si="2"/>
        <v>2891.3571428571427</v>
      </c>
      <c r="I43" s="11" cm="1">
        <f t="array" ref="I43">_xlfn.STDEV.P(_xlfn._xlws.FILTER($E$7:$E$229,$C$7:$C$229=C43))</f>
        <v>2696.5477031393534</v>
      </c>
      <c r="J43" s="11">
        <f t="shared" si="3"/>
        <v>-0.91092664149698599</v>
      </c>
      <c r="K43" s="11" t="str">
        <f t="shared" si="4"/>
        <v>No</v>
      </c>
      <c r="L43" s="11">
        <f t="array" ref="L43">_xlfn.STDEV.P(IF($C$7:$C$229=C43,$E$7:$E$229))</f>
        <v>2696.5477031393534</v>
      </c>
    </row>
    <row r="44" spans="3:12" x14ac:dyDescent="0.25">
      <c r="C44" s="3" t="s">
        <v>11</v>
      </c>
      <c r="D44" s="9">
        <v>45145</v>
      </c>
      <c r="E44" s="7">
        <v>3377</v>
      </c>
      <c r="F44" s="11">
        <f t="shared" si="0"/>
        <v>6.8333750716921632E-2</v>
      </c>
      <c r="G44" s="11" t="str">
        <f t="shared" si="1"/>
        <v>No</v>
      </c>
      <c r="H44" s="11">
        <f t="shared" si="2"/>
        <v>3233.2</v>
      </c>
      <c r="I44" s="11" cm="1">
        <f t="array" ref="I44">_xlfn.STDEV.P(_xlfn._xlws.FILTER($E$7:$E$229,$C$7:$C$229=C44))</f>
        <v>1528.3663696901995</v>
      </c>
      <c r="J44" s="11">
        <f t="shared" si="3"/>
        <v>9.408738824130794E-2</v>
      </c>
      <c r="K44" s="11" t="str">
        <f t="shared" si="4"/>
        <v>No</v>
      </c>
      <c r="L44" s="11">
        <f t="array" ref="L44">_xlfn.STDEV.P(IF($C$7:$C$229=C44,$E$7:$E$229))</f>
        <v>1528.3663696901995</v>
      </c>
    </row>
    <row r="45" spans="3:12" x14ac:dyDescent="0.25">
      <c r="C45" s="3" t="s">
        <v>18</v>
      </c>
      <c r="D45" s="9">
        <v>45145</v>
      </c>
      <c r="E45" s="7">
        <v>3773</v>
      </c>
      <c r="F45" s="11">
        <f t="shared" si="0"/>
        <v>0.20606808967222889</v>
      </c>
      <c r="G45" s="11" t="str">
        <f t="shared" si="1"/>
        <v>No</v>
      </c>
      <c r="H45" s="11">
        <f t="shared" si="2"/>
        <v>4742.1111111111113</v>
      </c>
      <c r="I45" s="11" cm="1">
        <f t="array" ref="I45">_xlfn.STDEV.P(_xlfn._xlws.FILTER($E$7:$E$229,$C$7:$C$229=C45))</f>
        <v>3593.1069330175474</v>
      </c>
      <c r="J45" s="11">
        <f t="shared" si="3"/>
        <v>-0.26971396320154511</v>
      </c>
      <c r="K45" s="11" t="str">
        <f t="shared" si="4"/>
        <v>No</v>
      </c>
      <c r="L45" s="11">
        <f t="array" ref="L45">_xlfn.STDEV.P(IF($C$7:$C$229=C45,$E$7:$E$229))</f>
        <v>3593.1069330175474</v>
      </c>
    </row>
    <row r="46" spans="3:12" x14ac:dyDescent="0.25">
      <c r="C46" s="3" t="s">
        <v>15</v>
      </c>
      <c r="D46" s="9">
        <v>45145</v>
      </c>
      <c r="E46" s="7">
        <v>2488</v>
      </c>
      <c r="F46" s="11">
        <f t="shared" si="0"/>
        <v>-0.24087288395799797</v>
      </c>
      <c r="G46" s="11" t="str">
        <f t="shared" si="1"/>
        <v>No</v>
      </c>
      <c r="H46" s="11">
        <f t="shared" si="2"/>
        <v>2350.6363636363635</v>
      </c>
      <c r="I46" s="11" cm="1">
        <f t="array" ref="I46">_xlfn.STDEV.P(_xlfn._xlws.FILTER($E$7:$E$229,$C$7:$C$229=C46))</f>
        <v>1376.1198595211811</v>
      </c>
      <c r="J46" s="11">
        <f t="shared" si="3"/>
        <v>9.9819529100780485E-2</v>
      </c>
      <c r="K46" s="11" t="str">
        <f t="shared" si="4"/>
        <v>No</v>
      </c>
      <c r="L46" s="11">
        <f t="array" ref="L46">_xlfn.STDEV.P(IF($C$7:$C$229=C46,$E$7:$E$229))</f>
        <v>1376.1198595211811</v>
      </c>
    </row>
    <row r="47" spans="3:12" x14ac:dyDescent="0.25">
      <c r="C47" s="3" t="s">
        <v>5</v>
      </c>
      <c r="D47" s="9">
        <v>45145</v>
      </c>
      <c r="E47" s="7">
        <v>2464</v>
      </c>
      <c r="F47" s="11">
        <f t="shared" si="0"/>
        <v>-0.24922041965225902</v>
      </c>
      <c r="G47" s="11" t="str">
        <f t="shared" si="1"/>
        <v>No</v>
      </c>
      <c r="H47" s="11">
        <f t="shared" si="2"/>
        <v>2272.2666666666669</v>
      </c>
      <c r="I47" s="11" cm="1">
        <f t="array" ref="I47">_xlfn.STDEV.P(_xlfn._xlws.FILTER($E$7:$E$229,$C$7:$C$229=C47))</f>
        <v>1107.5620353832205</v>
      </c>
      <c r="J47" s="11">
        <f t="shared" si="3"/>
        <v>0.17311295187812453</v>
      </c>
      <c r="K47" s="11" t="str">
        <f t="shared" si="4"/>
        <v>No</v>
      </c>
      <c r="L47" s="11">
        <f t="array" ref="L47">_xlfn.STDEV.P(IF($C$7:$C$229=C47,$E$7:$E$229))</f>
        <v>1107.5620353832205</v>
      </c>
    </row>
    <row r="48" spans="3:12" x14ac:dyDescent="0.25">
      <c r="C48" s="3" t="s">
        <v>15</v>
      </c>
      <c r="D48" s="9">
        <v>45146</v>
      </c>
      <c r="E48" s="7">
        <v>3474</v>
      </c>
      <c r="F48" s="11">
        <f t="shared" si="0"/>
        <v>0.1020717074812267</v>
      </c>
      <c r="G48" s="11" t="str">
        <f t="shared" si="1"/>
        <v>No</v>
      </c>
      <c r="H48" s="11">
        <f t="shared" si="2"/>
        <v>2350.6363636363635</v>
      </c>
      <c r="I48" s="11" cm="1">
        <f t="array" ref="I48">_xlfn.STDEV.P(_xlfn._xlws.FILTER($E$7:$E$229,$C$7:$C$229=C48))</f>
        <v>1376.1198595211811</v>
      </c>
      <c r="J48" s="11">
        <f t="shared" si="3"/>
        <v>0.81632688358593219</v>
      </c>
      <c r="K48" s="11" t="str">
        <f t="shared" si="4"/>
        <v>No</v>
      </c>
      <c r="L48" s="11">
        <f t="array" ref="L48">_xlfn.STDEV.P(IF($C$7:$C$229=C48,$E$7:$E$229))</f>
        <v>1376.1198595211811</v>
      </c>
    </row>
    <row r="49" spans="3:12" x14ac:dyDescent="0.25">
      <c r="C49" s="3" t="s">
        <v>17</v>
      </c>
      <c r="D49" s="9">
        <v>45146</v>
      </c>
      <c r="E49" s="7">
        <v>2192</v>
      </c>
      <c r="F49" s="11">
        <f t="shared" si="0"/>
        <v>-0.34382582418721752</v>
      </c>
      <c r="G49" s="11" t="str">
        <f t="shared" si="1"/>
        <v>No</v>
      </c>
      <c r="H49" s="11">
        <f t="shared" si="2"/>
        <v>2993.2222222222222</v>
      </c>
      <c r="I49" s="11" cm="1">
        <f t="array" ref="I49">_xlfn.STDEV.P(_xlfn._xlws.FILTER($E$7:$E$229,$C$7:$C$229=C49))</f>
        <v>2152.7507353140218</v>
      </c>
      <c r="J49" s="11">
        <f t="shared" si="3"/>
        <v>-0.37218532042695962</v>
      </c>
      <c r="K49" s="11" t="str">
        <f t="shared" si="4"/>
        <v>No</v>
      </c>
      <c r="L49" s="11">
        <f t="array" ref="L49">_xlfn.STDEV.P(IF($C$7:$C$229=C49,$E$7:$E$229))</f>
        <v>2152.7507353140218</v>
      </c>
    </row>
    <row r="50" spans="3:12" x14ac:dyDescent="0.25">
      <c r="C50" s="3" t="s">
        <v>20</v>
      </c>
      <c r="D50" s="9">
        <v>45146</v>
      </c>
      <c r="E50" s="7">
        <v>458</v>
      </c>
      <c r="F50" s="11">
        <f t="shared" si="0"/>
        <v>-0.94693527809757816</v>
      </c>
      <c r="G50" s="11" t="str">
        <f t="shared" si="1"/>
        <v>No</v>
      </c>
      <c r="H50" s="11">
        <f t="shared" si="2"/>
        <v>7666.25</v>
      </c>
      <c r="I50" s="11" cm="1">
        <f t="array" ref="I50">_xlfn.STDEV.P(_xlfn._xlws.FILTER($E$7:$E$229,$C$7:$C$229=C50))</f>
        <v>3189.3846095289291</v>
      </c>
      <c r="J50" s="11">
        <f t="shared" si="3"/>
        <v>-2.2600754949603448</v>
      </c>
      <c r="K50" s="11" t="str">
        <f t="shared" si="4"/>
        <v>No</v>
      </c>
      <c r="L50" s="11">
        <f t="array" ref="L50">_xlfn.STDEV.P(IF($C$7:$C$229=C50,$E$7:$E$229))</f>
        <v>3189.3846095289291</v>
      </c>
    </row>
    <row r="51" spans="3:12" x14ac:dyDescent="0.25">
      <c r="C51" s="3" t="s">
        <v>21</v>
      </c>
      <c r="D51" s="9">
        <v>45146</v>
      </c>
      <c r="E51" s="7">
        <v>3248</v>
      </c>
      <c r="F51" s="11">
        <f t="shared" si="0"/>
        <v>2.3465746360268509E-2</v>
      </c>
      <c r="G51" s="11" t="str">
        <f t="shared" si="1"/>
        <v>No</v>
      </c>
      <c r="H51" s="11">
        <f t="shared" si="2"/>
        <v>5830</v>
      </c>
      <c r="I51" s="11" cm="1">
        <f t="array" ref="I51">_xlfn.STDEV.P(_xlfn._xlws.FILTER($E$7:$E$229,$C$7:$C$229=C51))</f>
        <v>4977.4810350764228</v>
      </c>
      <c r="J51" s="11">
        <f t="shared" si="3"/>
        <v>-0.51873628082248568</v>
      </c>
      <c r="K51" s="11" t="str">
        <f t="shared" si="4"/>
        <v>No</v>
      </c>
      <c r="L51" s="11">
        <f t="array" ref="L51">_xlfn.STDEV.P(IF($C$7:$C$229=C51,$E$7:$E$229))</f>
        <v>4977.4810350764228</v>
      </c>
    </row>
    <row r="52" spans="3:12" x14ac:dyDescent="0.25">
      <c r="C52" s="3" t="s">
        <v>6</v>
      </c>
      <c r="D52" s="9">
        <v>45146</v>
      </c>
      <c r="E52" s="7">
        <v>1435</v>
      </c>
      <c r="F52" s="11">
        <f t="shared" si="0"/>
        <v>-0.60712101254370143</v>
      </c>
      <c r="G52" s="11" t="str">
        <f t="shared" si="1"/>
        <v>No</v>
      </c>
      <c r="H52" s="11">
        <f t="shared" si="2"/>
        <v>2821</v>
      </c>
      <c r="I52" s="11" cm="1">
        <f t="array" ref="I52">_xlfn.STDEV.P(_xlfn._xlws.FILTER($E$7:$E$229,$C$7:$C$229=C52))</f>
        <v>1953.5815128304032</v>
      </c>
      <c r="J52" s="11">
        <f t="shared" si="3"/>
        <v>-0.70946617322966199</v>
      </c>
      <c r="K52" s="11" t="str">
        <f t="shared" si="4"/>
        <v>No</v>
      </c>
      <c r="L52" s="11">
        <f t="array" ref="L52">_xlfn.STDEV.P(IF($C$7:$C$229=C52,$E$7:$E$229))</f>
        <v>1953.5815128304032</v>
      </c>
    </row>
    <row r="53" spans="3:12" x14ac:dyDescent="0.25">
      <c r="C53" s="3" t="s">
        <v>5</v>
      </c>
      <c r="D53" s="9">
        <v>45146</v>
      </c>
      <c r="E53" s="7">
        <v>3025</v>
      </c>
      <c r="F53" s="11">
        <f t="shared" si="0"/>
        <v>-5.4096772798907053E-2</v>
      </c>
      <c r="G53" s="11" t="str">
        <f t="shared" si="1"/>
        <v>No</v>
      </c>
      <c r="H53" s="11">
        <f t="shared" si="2"/>
        <v>2272.2666666666669</v>
      </c>
      <c r="I53" s="11" cm="1">
        <f t="array" ref="I53">_xlfn.STDEV.P(_xlfn._xlws.FILTER($E$7:$E$229,$C$7:$C$229=C53))</f>
        <v>1107.5620353832205</v>
      </c>
      <c r="J53" s="11">
        <f t="shared" si="3"/>
        <v>0.67963085523501587</v>
      </c>
      <c r="K53" s="11" t="str">
        <f t="shared" si="4"/>
        <v>No</v>
      </c>
      <c r="L53" s="11">
        <f t="array" ref="L53">_xlfn.STDEV.P(IF($C$7:$C$229=C53,$E$7:$E$229))</f>
        <v>1107.5620353832205</v>
      </c>
    </row>
    <row r="54" spans="3:12" x14ac:dyDescent="0.25">
      <c r="C54" s="3" t="s">
        <v>13</v>
      </c>
      <c r="D54" s="9">
        <v>45146</v>
      </c>
      <c r="E54" s="7">
        <v>3325</v>
      </c>
      <c r="F54" s="11">
        <f t="shared" si="0"/>
        <v>5.0247423379356032E-2</v>
      </c>
      <c r="G54" s="11" t="str">
        <f t="shared" si="1"/>
        <v>No</v>
      </c>
      <c r="H54" s="11">
        <f t="shared" si="2"/>
        <v>2850.909090909091</v>
      </c>
      <c r="I54" s="11" cm="1">
        <f t="array" ref="I54">_xlfn.STDEV.P(_xlfn._xlws.FILTER($E$7:$E$229,$C$7:$C$229=C54))</f>
        <v>1739.0994249660814</v>
      </c>
      <c r="J54" s="11">
        <f t="shared" si="3"/>
        <v>0.27260713348815896</v>
      </c>
      <c r="K54" s="11" t="str">
        <f t="shared" si="4"/>
        <v>No</v>
      </c>
      <c r="L54" s="11">
        <f t="array" ref="L54">_xlfn.STDEV.P(IF($C$7:$C$229=C54,$E$7:$E$229))</f>
        <v>1739.0994249660814</v>
      </c>
    </row>
    <row r="55" spans="3:12" x14ac:dyDescent="0.25">
      <c r="C55" s="3" t="s">
        <v>22</v>
      </c>
      <c r="D55" s="9">
        <v>45146</v>
      </c>
      <c r="E55" s="7">
        <v>1475</v>
      </c>
      <c r="F55" s="11">
        <f t="shared" si="0"/>
        <v>-0.5932084530532663</v>
      </c>
      <c r="G55" s="11" t="str">
        <f t="shared" si="1"/>
        <v>No</v>
      </c>
      <c r="H55" s="11">
        <f t="shared" si="2"/>
        <v>4249</v>
      </c>
      <c r="I55" s="11" cm="1">
        <f t="array" ref="I55">_xlfn.STDEV.P(_xlfn._xlws.FILTER($E$7:$E$229,$C$7:$C$229=C55))</f>
        <v>1547.8288019028462</v>
      </c>
      <c r="J55" s="11">
        <f t="shared" si="3"/>
        <v>-1.7921878676696945</v>
      </c>
      <c r="K55" s="11" t="str">
        <f t="shared" si="4"/>
        <v>No</v>
      </c>
      <c r="L55" s="11">
        <f t="array" ref="L55">_xlfn.STDEV.P(IF($C$7:$C$229=C55,$E$7:$E$229))</f>
        <v>1547.8288019028462</v>
      </c>
    </row>
    <row r="56" spans="3:12" x14ac:dyDescent="0.25">
      <c r="C56" s="3" t="s">
        <v>19</v>
      </c>
      <c r="D56" s="9">
        <v>45146</v>
      </c>
      <c r="E56" s="7">
        <v>3043</v>
      </c>
      <c r="F56" s="11">
        <f t="shared" si="0"/>
        <v>-4.7836121028211262E-2</v>
      </c>
      <c r="G56" s="11" t="str">
        <f t="shared" si="1"/>
        <v>No</v>
      </c>
      <c r="H56" s="11">
        <f t="shared" si="2"/>
        <v>2891.3571428571427</v>
      </c>
      <c r="I56" s="11" cm="1">
        <f t="array" ref="I56">_xlfn.STDEV.P(_xlfn._xlws.FILTER($E$7:$E$229,$C$7:$C$229=C56))</f>
        <v>2696.5477031393534</v>
      </c>
      <c r="J56" s="11">
        <f t="shared" si="3"/>
        <v>5.62359260198931E-2</v>
      </c>
      <c r="K56" s="11" t="str">
        <f t="shared" si="4"/>
        <v>No</v>
      </c>
      <c r="L56" s="11">
        <f t="array" ref="L56">_xlfn.STDEV.P(IF($C$7:$C$229=C56,$E$7:$E$229))</f>
        <v>2696.5477031393534</v>
      </c>
    </row>
    <row r="57" spans="3:12" x14ac:dyDescent="0.25">
      <c r="C57" s="3" t="s">
        <v>13</v>
      </c>
      <c r="D57" s="9">
        <v>45146</v>
      </c>
      <c r="E57" s="7">
        <v>6884</v>
      </c>
      <c r="F57" s="11">
        <f t="shared" si="0"/>
        <v>1.288117404040817</v>
      </c>
      <c r="G57" s="11" t="str">
        <f t="shared" si="1"/>
        <v>No</v>
      </c>
      <c r="H57" s="11">
        <f t="shared" si="2"/>
        <v>2850.909090909091</v>
      </c>
      <c r="I57" s="11" cm="1">
        <f t="array" ref="I57">_xlfn.STDEV.P(_xlfn._xlws.FILTER($E$7:$E$229,$C$7:$C$229=C57))</f>
        <v>1739.0994249660814</v>
      </c>
      <c r="J57" s="11">
        <f t="shared" si="3"/>
        <v>2.3190686232154718</v>
      </c>
      <c r="K57" s="11" t="str">
        <f t="shared" si="4"/>
        <v>No</v>
      </c>
      <c r="L57" s="11">
        <f t="array" ref="L57">_xlfn.STDEV.P(IF($C$7:$C$229=C57,$E$7:$E$229))</f>
        <v>1739.0994249660814</v>
      </c>
    </row>
    <row r="58" spans="3:12" x14ac:dyDescent="0.25">
      <c r="C58" s="3" t="s">
        <v>22</v>
      </c>
      <c r="D58" s="9">
        <v>45146</v>
      </c>
      <c r="E58" s="7">
        <v>3624</v>
      </c>
      <c r="F58" s="11">
        <f t="shared" si="0"/>
        <v>0.15424380557035824</v>
      </c>
      <c r="G58" s="11" t="str">
        <f t="shared" si="1"/>
        <v>No</v>
      </c>
      <c r="H58" s="11">
        <f t="shared" si="2"/>
        <v>4249</v>
      </c>
      <c r="I58" s="11" cm="1">
        <f t="array" ref="I58">_xlfn.STDEV.P(_xlfn._xlws.FILTER($E$7:$E$229,$C$7:$C$229=C58))</f>
        <v>1547.8288019028462</v>
      </c>
      <c r="J58" s="11">
        <f t="shared" si="3"/>
        <v>-0.4037914265658108</v>
      </c>
      <c r="K58" s="11" t="str">
        <f t="shared" si="4"/>
        <v>No</v>
      </c>
      <c r="L58" s="11">
        <f t="array" ref="L58">_xlfn.STDEV.P(IF($C$7:$C$229=C58,$E$7:$E$229))</f>
        <v>1547.8288019028462</v>
      </c>
    </row>
    <row r="59" spans="3:12" x14ac:dyDescent="0.25">
      <c r="C59" s="3" t="s">
        <v>22</v>
      </c>
      <c r="D59" s="9">
        <v>45147</v>
      </c>
      <c r="E59" s="7">
        <v>3771</v>
      </c>
      <c r="F59" s="11">
        <f t="shared" si="0"/>
        <v>0.20537246169770715</v>
      </c>
      <c r="G59" s="11" t="str">
        <f t="shared" si="1"/>
        <v>No</v>
      </c>
      <c r="H59" s="11">
        <f t="shared" si="2"/>
        <v>4249</v>
      </c>
      <c r="I59" s="11" cm="1">
        <f t="array" ref="I59">_xlfn.STDEV.P(_xlfn._xlws.FILTER($E$7:$E$229,$C$7:$C$229=C59))</f>
        <v>1547.8288019028462</v>
      </c>
      <c r="J59" s="11">
        <f t="shared" si="3"/>
        <v>-0.3088196830375321</v>
      </c>
      <c r="K59" s="11" t="str">
        <f t="shared" si="4"/>
        <v>No</v>
      </c>
      <c r="L59" s="11">
        <f t="array" ref="L59">_xlfn.STDEV.P(IF($C$7:$C$229=C59,$E$7:$E$229))</f>
        <v>1547.8288019028462</v>
      </c>
    </row>
    <row r="60" spans="3:12" x14ac:dyDescent="0.25">
      <c r="C60" s="3" t="s">
        <v>16</v>
      </c>
      <c r="D60" s="9">
        <v>45147</v>
      </c>
      <c r="E60" s="7">
        <v>2146</v>
      </c>
      <c r="F60" s="11">
        <f t="shared" si="0"/>
        <v>-0.35982526760121786</v>
      </c>
      <c r="G60" s="11" t="str">
        <f t="shared" si="1"/>
        <v>No</v>
      </c>
      <c r="H60" s="11">
        <f t="shared" si="2"/>
        <v>2130.3076923076924</v>
      </c>
      <c r="I60" s="11" cm="1">
        <f t="array" ref="I60">_xlfn.STDEV.P(_xlfn._xlws.FILTER($E$7:$E$229,$C$7:$C$229=C60))</f>
        <v>1844.0647571065304</v>
      </c>
      <c r="J60" s="11">
        <f t="shared" si="3"/>
        <v>8.5096294106992085E-3</v>
      </c>
      <c r="K60" s="11" t="str">
        <f t="shared" si="4"/>
        <v>No</v>
      </c>
      <c r="L60" s="11">
        <f t="array" ref="L60">_xlfn.STDEV.P(IF($C$7:$C$229=C60,$E$7:$E$229))</f>
        <v>1844.0647571065304</v>
      </c>
    </row>
    <row r="61" spans="3:12" x14ac:dyDescent="0.25">
      <c r="C61" s="3" t="s">
        <v>23</v>
      </c>
      <c r="D61" s="9">
        <v>45147</v>
      </c>
      <c r="E61" s="7">
        <v>4263</v>
      </c>
      <c r="F61" s="11">
        <f t="shared" si="0"/>
        <v>0.37649694343005863</v>
      </c>
      <c r="G61" s="11" t="str">
        <f t="shared" si="1"/>
        <v>No</v>
      </c>
      <c r="H61" s="11">
        <f t="shared" si="2"/>
        <v>1232</v>
      </c>
      <c r="I61" s="11" cm="1">
        <f t="array" ref="I61">_xlfn.STDEV.P(_xlfn._xlws.FILTER($E$7:$E$229,$C$7:$C$229=C61))</f>
        <v>1465.4460754323238</v>
      </c>
      <c r="J61" s="11">
        <f t="shared" si="3"/>
        <v>2.0683122025529457</v>
      </c>
      <c r="K61" s="11" t="str">
        <f t="shared" si="4"/>
        <v>No</v>
      </c>
      <c r="L61" s="11">
        <f t="array" ref="L61">_xlfn.STDEV.P(IF($C$7:$C$229=C61,$E$7:$E$229))</f>
        <v>1465.4460754323238</v>
      </c>
    </row>
    <row r="62" spans="3:12" x14ac:dyDescent="0.25">
      <c r="C62" s="3" t="s">
        <v>13</v>
      </c>
      <c r="D62" s="9">
        <v>45147</v>
      </c>
      <c r="E62" s="7">
        <v>3004</v>
      </c>
      <c r="F62" s="11">
        <f t="shared" si="0"/>
        <v>-6.1400866531385462E-2</v>
      </c>
      <c r="G62" s="11" t="str">
        <f t="shared" si="1"/>
        <v>No</v>
      </c>
      <c r="H62" s="11">
        <f t="shared" si="2"/>
        <v>2850.909090909091</v>
      </c>
      <c r="I62" s="11" cm="1">
        <f t="array" ref="I62">_xlfn.STDEV.P(_xlfn._xlws.FILTER($E$7:$E$229,$C$7:$C$229=C62))</f>
        <v>1739.0994249660814</v>
      </c>
      <c r="J62" s="11">
        <f t="shared" si="3"/>
        <v>8.8028842338266439E-2</v>
      </c>
      <c r="K62" s="11" t="str">
        <f t="shared" si="4"/>
        <v>No</v>
      </c>
      <c r="L62" s="11">
        <f t="array" ref="L62">_xlfn.STDEV.P(IF($C$7:$C$229=C62,$E$7:$E$229))</f>
        <v>1739.0994249660814</v>
      </c>
    </row>
    <row r="63" spans="3:12" x14ac:dyDescent="0.25">
      <c r="C63" s="3" t="s">
        <v>23</v>
      </c>
      <c r="D63" s="9">
        <v>45147</v>
      </c>
      <c r="E63" s="7">
        <v>62</v>
      </c>
      <c r="F63" s="11">
        <f t="shared" si="0"/>
        <v>-1.0846696170528853</v>
      </c>
      <c r="G63" s="11" t="str">
        <f t="shared" si="1"/>
        <v>No</v>
      </c>
      <c r="H63" s="11">
        <f t="shared" si="2"/>
        <v>1232</v>
      </c>
      <c r="I63" s="11" cm="1">
        <f t="array" ref="I63">_xlfn.STDEV.P(_xlfn._xlws.FILTER($E$7:$E$229,$C$7:$C$229=C63))</f>
        <v>1465.4460754323238</v>
      </c>
      <c r="J63" s="11">
        <f t="shared" si="3"/>
        <v>-0.79839171131209064</v>
      </c>
      <c r="K63" s="11" t="str">
        <f t="shared" si="4"/>
        <v>No</v>
      </c>
      <c r="L63" s="11">
        <f t="array" ref="L63">_xlfn.STDEV.P(IF($C$7:$C$229=C63,$E$7:$E$229))</f>
        <v>1465.4460754323238</v>
      </c>
    </row>
    <row r="64" spans="3:12" x14ac:dyDescent="0.25">
      <c r="C64" s="3" t="s">
        <v>14</v>
      </c>
      <c r="D64" s="9">
        <v>45147</v>
      </c>
      <c r="E64" s="7">
        <v>1257</v>
      </c>
      <c r="F64" s="11">
        <f t="shared" si="0"/>
        <v>-0.66903190227613751</v>
      </c>
      <c r="G64" s="11" t="str">
        <f t="shared" si="1"/>
        <v>No</v>
      </c>
      <c r="H64" s="11">
        <f t="shared" si="2"/>
        <v>3412.8</v>
      </c>
      <c r="I64" s="11" cm="1">
        <f t="array" ref="I64">_xlfn.STDEV.P(_xlfn._xlws.FILTER($E$7:$E$229,$C$7:$C$229=C64))</f>
        <v>1811.1240045894153</v>
      </c>
      <c r="J64" s="11">
        <f t="shared" si="3"/>
        <v>-1.1903105444669557</v>
      </c>
      <c r="K64" s="11" t="str">
        <f t="shared" si="4"/>
        <v>No</v>
      </c>
      <c r="L64" s="11">
        <f t="array" ref="L64">_xlfn.STDEV.P(IF($C$7:$C$229=C64,$E$7:$E$229))</f>
        <v>1811.1240045894153</v>
      </c>
    </row>
    <row r="65" spans="3:12" x14ac:dyDescent="0.25">
      <c r="C65" s="3" t="s">
        <v>3</v>
      </c>
      <c r="D65" s="9">
        <v>45147</v>
      </c>
      <c r="E65" s="7">
        <v>1218</v>
      </c>
      <c r="F65" s="11">
        <f t="shared" si="0"/>
        <v>-0.68259664777931173</v>
      </c>
      <c r="G65" s="11" t="str">
        <f t="shared" si="1"/>
        <v>No</v>
      </c>
      <c r="H65" s="11">
        <f t="shared" si="2"/>
        <v>1907.3636363636363</v>
      </c>
      <c r="I65" s="11" cm="1">
        <f t="array" ref="I65">_xlfn.STDEV.P(_xlfn._xlws.FILTER($E$7:$E$229,$C$7:$C$229=C65))</f>
        <v>1789.0284957701724</v>
      </c>
      <c r="J65" s="11">
        <f t="shared" si="3"/>
        <v>-0.3853284830250101</v>
      </c>
      <c r="K65" s="11" t="str">
        <f t="shared" si="4"/>
        <v>No</v>
      </c>
      <c r="L65" s="11">
        <f t="array" ref="L65">_xlfn.STDEV.P(IF($C$7:$C$229=C65,$E$7:$E$229))</f>
        <v>1789.0284957701724</v>
      </c>
    </row>
    <row r="66" spans="3:12" x14ac:dyDescent="0.25">
      <c r="C66" s="3" t="s">
        <v>7</v>
      </c>
      <c r="D66" s="9">
        <v>45147</v>
      </c>
      <c r="E66" s="7">
        <v>1158</v>
      </c>
      <c r="F66" s="11">
        <f t="shared" si="0"/>
        <v>-0.70346548701496425</v>
      </c>
      <c r="G66" s="11" t="str">
        <f t="shared" si="1"/>
        <v>No</v>
      </c>
      <c r="H66" s="11">
        <f t="shared" si="2"/>
        <v>3071.4444444444443</v>
      </c>
      <c r="I66" s="11" cm="1">
        <f t="array" ref="I66">_xlfn.STDEV.P(_xlfn._xlws.FILTER($E$7:$E$229,$C$7:$C$229=C66))</f>
        <v>2793.5250575059426</v>
      </c>
      <c r="J66" s="11">
        <f t="shared" si="3"/>
        <v>-0.68495696478655044</v>
      </c>
      <c r="K66" s="11" t="str">
        <f t="shared" si="4"/>
        <v>No</v>
      </c>
      <c r="L66" s="11">
        <f t="array" ref="L66">_xlfn.STDEV.P(IF($C$7:$C$229=C66,$E$7:$E$229))</f>
        <v>2793.5250575059426</v>
      </c>
    </row>
    <row r="67" spans="3:12" x14ac:dyDescent="0.25">
      <c r="C67" s="3" t="s">
        <v>14</v>
      </c>
      <c r="D67" s="9">
        <v>45147</v>
      </c>
      <c r="E67" s="7">
        <v>5130</v>
      </c>
      <c r="F67" s="11">
        <f t="shared" si="0"/>
        <v>0.67805167038523895</v>
      </c>
      <c r="G67" s="11" t="str">
        <f t="shared" si="1"/>
        <v>No</v>
      </c>
      <c r="H67" s="11">
        <f t="shared" si="2"/>
        <v>3412.8</v>
      </c>
      <c r="I67" s="11" cm="1">
        <f t="array" ref="I67">_xlfn.STDEV.P(_xlfn._xlws.FILTER($E$7:$E$229,$C$7:$C$229=C67))</f>
        <v>1811.1240045894153</v>
      </c>
      <c r="J67" s="11">
        <f t="shared" si="3"/>
        <v>0.94814048935831519</v>
      </c>
      <c r="K67" s="11" t="str">
        <f t="shared" si="4"/>
        <v>No</v>
      </c>
      <c r="L67" s="11">
        <f t="array" ref="L67">_xlfn.STDEV.P(IF($C$7:$C$229=C67,$E$7:$E$229))</f>
        <v>1811.1240045894153</v>
      </c>
    </row>
    <row r="68" spans="3:12" x14ac:dyDescent="0.25">
      <c r="C68" s="3" t="s">
        <v>6</v>
      </c>
      <c r="D68" s="9">
        <v>45147</v>
      </c>
      <c r="E68" s="7">
        <v>3630</v>
      </c>
      <c r="F68" s="11">
        <f t="shared" si="0"/>
        <v>0.15633068949392351</v>
      </c>
      <c r="G68" s="11" t="str">
        <f t="shared" si="1"/>
        <v>No</v>
      </c>
      <c r="H68" s="11">
        <f t="shared" si="2"/>
        <v>2821</v>
      </c>
      <c r="I68" s="11" cm="1">
        <f t="array" ref="I68">_xlfn.STDEV.P(_xlfn._xlws.FILTER($E$7:$E$229,$C$7:$C$229=C68))</f>
        <v>1953.5815128304032</v>
      </c>
      <c r="J68" s="11">
        <f t="shared" si="3"/>
        <v>0.41411120789523559</v>
      </c>
      <c r="K68" s="11" t="str">
        <f t="shared" si="4"/>
        <v>No</v>
      </c>
      <c r="L68" s="11">
        <f t="array" ref="L68">_xlfn.STDEV.P(IF($C$7:$C$229=C68,$E$7:$E$229))</f>
        <v>1953.5815128304032</v>
      </c>
    </row>
    <row r="69" spans="3:12" x14ac:dyDescent="0.25">
      <c r="C69" s="3" t="s">
        <v>21</v>
      </c>
      <c r="D69" s="9">
        <v>45147</v>
      </c>
      <c r="E69" s="7">
        <v>21467</v>
      </c>
      <c r="F69" s="11">
        <f t="shared" si="0"/>
        <v>6.3602887802661856</v>
      </c>
      <c r="G69" s="11" t="str">
        <f t="shared" si="1"/>
        <v>Yes</v>
      </c>
      <c r="H69" s="11">
        <f t="shared" si="2"/>
        <v>5830</v>
      </c>
      <c r="I69" s="11" cm="1">
        <f t="array" ref="I69">_xlfn.STDEV.P(_xlfn._xlws.FILTER($E$7:$E$229,$C$7:$C$229=C69))</f>
        <v>4977.4810350764228</v>
      </c>
      <c r="J69" s="11">
        <f t="shared" si="3"/>
        <v>3.1415488858331559</v>
      </c>
      <c r="K69" s="11" t="str">
        <f t="shared" si="4"/>
        <v>Yes</v>
      </c>
      <c r="L69" s="11">
        <f t="array" ref="L69">_xlfn.STDEV.P(IF($C$7:$C$229=C69,$E$7:$E$229))</f>
        <v>4977.4810350764228</v>
      </c>
    </row>
    <row r="70" spans="3:12" x14ac:dyDescent="0.25">
      <c r="C70" s="3" t="s">
        <v>5</v>
      </c>
      <c r="D70" s="9">
        <v>45147</v>
      </c>
      <c r="E70" s="7">
        <v>1274</v>
      </c>
      <c r="F70" s="11">
        <f t="shared" si="0"/>
        <v>-0.66311906449270253</v>
      </c>
      <c r="G70" s="11" t="str">
        <f t="shared" si="1"/>
        <v>No</v>
      </c>
      <c r="H70" s="11">
        <f t="shared" si="2"/>
        <v>2272.2666666666669</v>
      </c>
      <c r="I70" s="11" cm="1">
        <f t="array" ref="I70">_xlfn.STDEV.P(_xlfn._xlws.FILTER($E$7:$E$229,$C$7:$C$229=C70))</f>
        <v>1107.5620353832205</v>
      </c>
      <c r="J70" s="11">
        <f t="shared" si="3"/>
        <v>-0.90131896433346326</v>
      </c>
      <c r="K70" s="11" t="str">
        <f t="shared" si="4"/>
        <v>No</v>
      </c>
      <c r="L70" s="11">
        <f t="array" ref="L70">_xlfn.STDEV.P(IF($C$7:$C$229=C70,$E$7:$E$229))</f>
        <v>1107.5620353832205</v>
      </c>
    </row>
    <row r="71" spans="3:12" x14ac:dyDescent="0.25">
      <c r="C71" s="3" t="s">
        <v>14</v>
      </c>
      <c r="D71" s="9">
        <v>45147</v>
      </c>
      <c r="E71" s="7">
        <v>4582</v>
      </c>
      <c r="F71" s="11">
        <f t="shared" si="0"/>
        <v>0.48744960536627835</v>
      </c>
      <c r="G71" s="11" t="str">
        <f t="shared" si="1"/>
        <v>No</v>
      </c>
      <c r="H71" s="11">
        <f t="shared" si="2"/>
        <v>3412.8</v>
      </c>
      <c r="I71" s="11" cm="1">
        <f t="array" ref="I71">_xlfn.STDEV.P(_xlfn._xlws.FILTER($E$7:$E$229,$C$7:$C$229=C71))</f>
        <v>1811.1240045894153</v>
      </c>
      <c r="J71" s="11">
        <f t="shared" si="3"/>
        <v>0.6455659562996402</v>
      </c>
      <c r="K71" s="11" t="str">
        <f t="shared" si="4"/>
        <v>No</v>
      </c>
      <c r="L71" s="11">
        <f t="array" ref="L71">_xlfn.STDEV.P(IF($C$7:$C$229=C71,$E$7:$E$229))</f>
        <v>1811.1240045894153</v>
      </c>
    </row>
    <row r="72" spans="3:12" x14ac:dyDescent="0.25">
      <c r="C72" s="3" t="s">
        <v>22</v>
      </c>
      <c r="D72" s="9">
        <v>45148</v>
      </c>
      <c r="E72" s="7">
        <v>6374</v>
      </c>
      <c r="F72" s="11">
        <f t="shared" ref="F72:F135" si="5">(E72-$O$4)/$O$5</f>
        <v>1.1107322705377698</v>
      </c>
      <c r="G72" s="11" t="str">
        <f t="shared" ref="G72:G135" si="6">IF(ABS(F72)&gt;3,"Yes","No")</f>
        <v>No</v>
      </c>
      <c r="H72" s="11">
        <f t="shared" ref="H72:H135" si="7">AVERAGEIFS($E$7:$E$229,$C$7:$C$229,C72)</f>
        <v>4249</v>
      </c>
      <c r="I72" s="11" cm="1">
        <f t="array" ref="I72">_xlfn.STDEV.P(_xlfn._xlws.FILTER($E$7:$E$229,$C$7:$C$229=C72))</f>
        <v>1547.8288019028462</v>
      </c>
      <c r="J72" s="11">
        <f t="shared" ref="J72:J135" si="8">(E72-H72)/I72</f>
        <v>1.3728908503237567</v>
      </c>
      <c r="K72" s="11" t="str">
        <f t="shared" ref="K72:K135" si="9">IF(ABS(J72)&gt;3,"Yes","No")</f>
        <v>No</v>
      </c>
      <c r="L72" s="11">
        <f t="array" ref="L72">_xlfn.STDEV.P(IF($C$7:$C$229=C72,$E$7:$E$229))</f>
        <v>1547.8288019028462</v>
      </c>
    </row>
    <row r="73" spans="3:12" x14ac:dyDescent="0.25">
      <c r="C73" s="3" t="s">
        <v>18</v>
      </c>
      <c r="D73" s="9">
        <v>45148</v>
      </c>
      <c r="E73" s="7">
        <v>2251</v>
      </c>
      <c r="F73" s="11">
        <f t="shared" si="5"/>
        <v>-0.3233047989388258</v>
      </c>
      <c r="G73" s="11" t="str">
        <f t="shared" si="6"/>
        <v>No</v>
      </c>
      <c r="H73" s="11">
        <f t="shared" si="7"/>
        <v>4742.1111111111113</v>
      </c>
      <c r="I73" s="11" cm="1">
        <f t="array" ref="I73">_xlfn.STDEV.P(_xlfn._xlws.FILTER($E$7:$E$229,$C$7:$C$229=C73))</f>
        <v>3593.1069330175474</v>
      </c>
      <c r="J73" s="11">
        <f t="shared" si="8"/>
        <v>-0.69330280382694798</v>
      </c>
      <c r="K73" s="11" t="str">
        <f t="shared" si="9"/>
        <v>No</v>
      </c>
      <c r="L73" s="11">
        <f t="array" ref="L73">_xlfn.STDEV.P(IF($C$7:$C$229=C73,$E$7:$E$229))</f>
        <v>3593.1069330175474</v>
      </c>
    </row>
    <row r="74" spans="3:12" x14ac:dyDescent="0.25">
      <c r="C74" s="3" t="s">
        <v>8</v>
      </c>
      <c r="D74" s="9">
        <v>45148</v>
      </c>
      <c r="E74" s="7">
        <v>2623</v>
      </c>
      <c r="F74" s="11">
        <f t="shared" si="5"/>
        <v>-0.19391799567777959</v>
      </c>
      <c r="G74" s="11" t="str">
        <f t="shared" si="6"/>
        <v>No</v>
      </c>
      <c r="H74" s="11">
        <f t="shared" si="7"/>
        <v>2944.3333333333335</v>
      </c>
      <c r="I74" s="11" cm="1">
        <f t="array" ref="I74">_xlfn.STDEV.P(_xlfn._xlws.FILTER($E$7:$E$229,$C$7:$C$229=C74))</f>
        <v>3080.6774507493569</v>
      </c>
      <c r="J74" s="11">
        <f t="shared" si="8"/>
        <v>-0.10430606204981668</v>
      </c>
      <c r="K74" s="11" t="str">
        <f t="shared" si="9"/>
        <v>No</v>
      </c>
      <c r="L74" s="11">
        <f t="array" ref="L74">_xlfn.STDEV.P(IF($C$7:$C$229=C74,$E$7:$E$229))</f>
        <v>3080.6774507493569</v>
      </c>
    </row>
    <row r="75" spans="3:12" x14ac:dyDescent="0.25">
      <c r="C75" s="3" t="s">
        <v>5</v>
      </c>
      <c r="D75" s="9">
        <v>45148</v>
      </c>
      <c r="E75" s="7">
        <v>236</v>
      </c>
      <c r="F75" s="11">
        <f t="shared" si="5"/>
        <v>-1.0241499832694929</v>
      </c>
      <c r="G75" s="11" t="str">
        <f t="shared" si="6"/>
        <v>No</v>
      </c>
      <c r="H75" s="11">
        <f t="shared" si="7"/>
        <v>2272.2666666666669</v>
      </c>
      <c r="I75" s="11" cm="1">
        <f t="array" ref="I75">_xlfn.STDEV.P(_xlfn._xlws.FILTER($E$7:$E$229,$C$7:$C$229=C75))</f>
        <v>1107.5620353832205</v>
      </c>
      <c r="J75" s="11">
        <f t="shared" si="8"/>
        <v>-1.8385125181381927</v>
      </c>
      <c r="K75" s="11" t="str">
        <f t="shared" si="9"/>
        <v>No</v>
      </c>
      <c r="L75" s="11">
        <f t="array" ref="L75">_xlfn.STDEV.P(IF($C$7:$C$229=C75,$E$7:$E$229))</f>
        <v>1107.5620353832205</v>
      </c>
    </row>
    <row r="76" spans="3:12" x14ac:dyDescent="0.25">
      <c r="C76" s="3" t="s">
        <v>5</v>
      </c>
      <c r="D76" s="9">
        <v>45148</v>
      </c>
      <c r="E76" s="7">
        <v>2431</v>
      </c>
      <c r="F76" s="11">
        <f t="shared" si="5"/>
        <v>-0.26069828123186795</v>
      </c>
      <c r="G76" s="11" t="str">
        <f t="shared" si="6"/>
        <v>No</v>
      </c>
      <c r="H76" s="11">
        <f t="shared" si="7"/>
        <v>2272.2666666666669</v>
      </c>
      <c r="I76" s="11" cm="1">
        <f t="array" ref="I76">_xlfn.STDEV.P(_xlfn._xlws.FILTER($E$7:$E$229,$C$7:$C$229=C76))</f>
        <v>1107.5620353832205</v>
      </c>
      <c r="J76" s="11">
        <f t="shared" si="8"/>
        <v>0.14331778109242505</v>
      </c>
      <c r="K76" s="11" t="str">
        <f t="shared" si="9"/>
        <v>No</v>
      </c>
      <c r="L76" s="11">
        <f t="array" ref="L76">_xlfn.STDEV.P(IF($C$7:$C$229=C76,$E$7:$E$229))</f>
        <v>1107.5620353832205</v>
      </c>
    </row>
    <row r="77" spans="3:12" x14ac:dyDescent="0.25">
      <c r="C77" s="3" t="s">
        <v>21</v>
      </c>
      <c r="D77" s="9">
        <v>45148</v>
      </c>
      <c r="E77" s="7">
        <v>4390</v>
      </c>
      <c r="F77" s="11">
        <f t="shared" si="5"/>
        <v>0.42066931981218997</v>
      </c>
      <c r="G77" s="11" t="str">
        <f t="shared" si="6"/>
        <v>No</v>
      </c>
      <c r="H77" s="11">
        <f t="shared" si="7"/>
        <v>5830</v>
      </c>
      <c r="I77" s="11" cm="1">
        <f t="array" ref="I77">_xlfn.STDEV.P(_xlfn._xlws.FILTER($E$7:$E$229,$C$7:$C$229=C77))</f>
        <v>4977.4810350764228</v>
      </c>
      <c r="J77" s="11">
        <f t="shared" si="8"/>
        <v>-0.28930296064460859</v>
      </c>
      <c r="K77" s="11" t="str">
        <f t="shared" si="9"/>
        <v>No</v>
      </c>
      <c r="L77" s="11">
        <f t="array" ref="L77">_xlfn.STDEV.P(IF($C$7:$C$229=C77,$E$7:$E$229))</f>
        <v>4977.4810350764228</v>
      </c>
    </row>
    <row r="78" spans="3:12" x14ac:dyDescent="0.25">
      <c r="C78" s="3" t="s">
        <v>16</v>
      </c>
      <c r="D78" s="9">
        <v>45148</v>
      </c>
      <c r="E78" s="7">
        <v>2006</v>
      </c>
      <c r="F78" s="11">
        <f t="shared" si="5"/>
        <v>-0.40851922581774064</v>
      </c>
      <c r="G78" s="11" t="str">
        <f t="shared" si="6"/>
        <v>No</v>
      </c>
      <c r="H78" s="11">
        <f t="shared" si="7"/>
        <v>2130.3076923076924</v>
      </c>
      <c r="I78" s="11" cm="1">
        <f t="array" ref="I78">_xlfn.STDEV.P(_xlfn._xlws.FILTER($E$7:$E$229,$C$7:$C$229=C78))</f>
        <v>1844.0647571065304</v>
      </c>
      <c r="J78" s="11">
        <f t="shared" si="8"/>
        <v>-6.7409613371029353E-2</v>
      </c>
      <c r="K78" s="11" t="str">
        <f t="shared" si="9"/>
        <v>No</v>
      </c>
      <c r="L78" s="11">
        <f t="array" ref="L78">_xlfn.STDEV.P(IF($C$7:$C$229=C78,$E$7:$E$229))</f>
        <v>1844.0647571065304</v>
      </c>
    </row>
    <row r="79" spans="3:12" x14ac:dyDescent="0.25">
      <c r="C79" s="3" t="s">
        <v>3</v>
      </c>
      <c r="D79" s="9">
        <v>45148</v>
      </c>
      <c r="E79" s="7">
        <v>604</v>
      </c>
      <c r="F79" s="11">
        <f t="shared" si="5"/>
        <v>-0.89615443595749011</v>
      </c>
      <c r="G79" s="11" t="str">
        <f t="shared" si="6"/>
        <v>No</v>
      </c>
      <c r="H79" s="11">
        <f t="shared" si="7"/>
        <v>1907.3636363636363</v>
      </c>
      <c r="I79" s="11" cm="1">
        <f t="array" ref="I79">_xlfn.STDEV.P(_xlfn._xlws.FILTER($E$7:$E$229,$C$7:$C$229=C79))</f>
        <v>1789.0284957701724</v>
      </c>
      <c r="J79" s="11">
        <f t="shared" si="8"/>
        <v>-0.72853151274292105</v>
      </c>
      <c r="K79" s="11" t="str">
        <f t="shared" si="9"/>
        <v>No</v>
      </c>
      <c r="L79" s="11">
        <f t="array" ref="L79">_xlfn.STDEV.P(IF($C$7:$C$229=C79,$E$7:$E$229))</f>
        <v>1789.0284957701724</v>
      </c>
    </row>
    <row r="80" spans="3:12" x14ac:dyDescent="0.25">
      <c r="C80" s="3" t="s">
        <v>10</v>
      </c>
      <c r="D80" s="9">
        <v>45148</v>
      </c>
      <c r="E80" s="7">
        <v>2406</v>
      </c>
      <c r="F80" s="11">
        <f t="shared" si="5"/>
        <v>-0.26939363091338986</v>
      </c>
      <c r="G80" s="11" t="str">
        <f t="shared" si="6"/>
        <v>No</v>
      </c>
      <c r="H80" s="11">
        <f t="shared" si="7"/>
        <v>2962.3846153846152</v>
      </c>
      <c r="I80" s="11" cm="1">
        <f t="array" ref="I80">_xlfn.STDEV.P(_xlfn._xlws.FILTER($E$7:$E$229,$C$7:$C$229=C80))</f>
        <v>2237.9254658126006</v>
      </c>
      <c r="J80" s="11">
        <f t="shared" si="8"/>
        <v>-0.24861624030118873</v>
      </c>
      <c r="K80" s="11" t="str">
        <f t="shared" si="9"/>
        <v>No</v>
      </c>
      <c r="L80" s="11">
        <f t="array" ref="L80">_xlfn.STDEV.P(IF($C$7:$C$229=C80,$E$7:$E$229))</f>
        <v>2237.9254658126006</v>
      </c>
    </row>
    <row r="81" spans="3:12" x14ac:dyDescent="0.25">
      <c r="C81" s="3" t="s">
        <v>6</v>
      </c>
      <c r="D81" s="9">
        <v>45148</v>
      </c>
      <c r="E81" s="7">
        <v>2924</v>
      </c>
      <c r="F81" s="11">
        <f t="shared" si="5"/>
        <v>-8.9225985512255621E-2</v>
      </c>
      <c r="G81" s="11" t="str">
        <f t="shared" si="6"/>
        <v>No</v>
      </c>
      <c r="H81" s="11">
        <f t="shared" si="7"/>
        <v>2821</v>
      </c>
      <c r="I81" s="11" cm="1">
        <f t="array" ref="I81">_xlfn.STDEV.P(_xlfn._xlws.FILTER($E$7:$E$229,$C$7:$C$229=C81))</f>
        <v>1953.5815128304032</v>
      </c>
      <c r="J81" s="11">
        <f t="shared" si="8"/>
        <v>5.2723676654152368E-2</v>
      </c>
      <c r="K81" s="11" t="str">
        <f t="shared" si="9"/>
        <v>No</v>
      </c>
      <c r="L81" s="11">
        <f t="array" ref="L81">_xlfn.STDEV.P(IF($C$7:$C$229=C81,$E$7:$E$229))</f>
        <v>1953.5815128304032</v>
      </c>
    </row>
    <row r="82" spans="3:12" x14ac:dyDescent="0.25">
      <c r="C82" s="3" t="s">
        <v>16</v>
      </c>
      <c r="D82" s="9">
        <v>45148</v>
      </c>
      <c r="E82" s="7">
        <v>1406</v>
      </c>
      <c r="F82" s="11">
        <f t="shared" si="5"/>
        <v>-0.61720761817426684</v>
      </c>
      <c r="G82" s="11" t="str">
        <f t="shared" si="6"/>
        <v>No</v>
      </c>
      <c r="H82" s="11">
        <f t="shared" si="7"/>
        <v>2130.3076923076924</v>
      </c>
      <c r="I82" s="11" cm="1">
        <f t="array" ref="I82">_xlfn.STDEV.P(_xlfn._xlws.FILTER($E$7:$E$229,$C$7:$C$229=C82))</f>
        <v>1844.0647571065304</v>
      </c>
      <c r="J82" s="11">
        <f t="shared" si="8"/>
        <v>-0.39277779672129465</v>
      </c>
      <c r="K82" s="11" t="str">
        <f t="shared" si="9"/>
        <v>No</v>
      </c>
      <c r="L82" s="11">
        <f t="array" ref="L82">_xlfn.STDEV.P(IF($C$7:$C$229=C82,$E$7:$E$229))</f>
        <v>1844.0647571065304</v>
      </c>
    </row>
    <row r="83" spans="3:12" x14ac:dyDescent="0.25">
      <c r="C83" s="3" t="s">
        <v>23</v>
      </c>
      <c r="D83" s="9">
        <v>45148</v>
      </c>
      <c r="E83" s="7">
        <v>3441</v>
      </c>
      <c r="F83" s="11">
        <f t="shared" si="5"/>
        <v>9.0593845901617759E-2</v>
      </c>
      <c r="G83" s="11" t="str">
        <f t="shared" si="6"/>
        <v>No</v>
      </c>
      <c r="H83" s="11">
        <f t="shared" si="7"/>
        <v>1232</v>
      </c>
      <c r="I83" s="11" cm="1">
        <f t="array" ref="I83">_xlfn.STDEV.P(_xlfn._xlws.FILTER($E$7:$E$229,$C$7:$C$229=C83))</f>
        <v>1465.4460754323238</v>
      </c>
      <c r="J83" s="11">
        <f t="shared" si="8"/>
        <v>1.5073908464003487</v>
      </c>
      <c r="K83" s="11" t="str">
        <f t="shared" si="9"/>
        <v>No</v>
      </c>
      <c r="L83" s="11">
        <f t="array" ref="L83">_xlfn.STDEV.P(IF($C$7:$C$229=C83,$E$7:$E$229))</f>
        <v>1465.4460754323238</v>
      </c>
    </row>
    <row r="84" spans="3:12" x14ac:dyDescent="0.25">
      <c r="C84" s="3" t="s">
        <v>11</v>
      </c>
      <c r="D84" s="9">
        <v>45149</v>
      </c>
      <c r="E84" s="7">
        <v>3525</v>
      </c>
      <c r="F84" s="11">
        <f t="shared" si="5"/>
        <v>0.11981022083153142</v>
      </c>
      <c r="G84" s="11" t="str">
        <f t="shared" si="6"/>
        <v>No</v>
      </c>
      <c r="H84" s="11">
        <f t="shared" si="7"/>
        <v>3233.2</v>
      </c>
      <c r="I84" s="11" cm="1">
        <f t="array" ref="I84">_xlfn.STDEV.P(_xlfn._xlws.FILTER($E$7:$E$229,$C$7:$C$229=C84))</f>
        <v>1528.3663696901995</v>
      </c>
      <c r="J84" s="11">
        <f t="shared" si="8"/>
        <v>0.19092280868437858</v>
      </c>
      <c r="K84" s="11" t="str">
        <f t="shared" si="9"/>
        <v>No</v>
      </c>
      <c r="L84" s="11">
        <f t="array" ref="L84">_xlfn.STDEV.P(IF($C$7:$C$229=C84,$E$7:$E$229))</f>
        <v>1528.3663696901995</v>
      </c>
    </row>
    <row r="85" spans="3:12" x14ac:dyDescent="0.25">
      <c r="C85" s="3" t="s">
        <v>8</v>
      </c>
      <c r="D85" s="9">
        <v>45149</v>
      </c>
      <c r="E85" s="7">
        <v>700</v>
      </c>
      <c r="F85" s="11">
        <f t="shared" si="5"/>
        <v>-0.8627642931804459</v>
      </c>
      <c r="G85" s="11" t="str">
        <f t="shared" si="6"/>
        <v>No</v>
      </c>
      <c r="H85" s="11">
        <f t="shared" si="7"/>
        <v>2944.3333333333335</v>
      </c>
      <c r="I85" s="11" cm="1">
        <f t="array" ref="I85">_xlfn.STDEV.P(_xlfn._xlws.FILTER($E$7:$E$229,$C$7:$C$229=C85))</f>
        <v>3080.6774507493569</v>
      </c>
      <c r="J85" s="11">
        <f t="shared" si="8"/>
        <v>-0.72851941471101178</v>
      </c>
      <c r="K85" s="11" t="str">
        <f t="shared" si="9"/>
        <v>No</v>
      </c>
      <c r="L85" s="11">
        <f t="array" ref="L85">_xlfn.STDEV.P(IF($C$7:$C$229=C85,$E$7:$E$229))</f>
        <v>3080.6774507493569</v>
      </c>
    </row>
    <row r="86" spans="3:12" x14ac:dyDescent="0.25">
      <c r="C86" s="3" t="s">
        <v>18</v>
      </c>
      <c r="D86" s="9">
        <v>45149</v>
      </c>
      <c r="E86" s="7">
        <v>12932</v>
      </c>
      <c r="F86" s="11">
        <f t="shared" si="5"/>
        <v>3.391696398994601</v>
      </c>
      <c r="G86" s="11" t="str">
        <f t="shared" si="6"/>
        <v>Yes</v>
      </c>
      <c r="H86" s="11">
        <f t="shared" si="7"/>
        <v>4742.1111111111113</v>
      </c>
      <c r="I86" s="11" cm="1">
        <f t="array" ref="I86">_xlfn.STDEV.P(_xlfn._xlws.FILTER($E$7:$E$229,$C$7:$C$229=C86))</f>
        <v>3593.1069330175474</v>
      </c>
      <c r="J86" s="11">
        <f t="shared" si="8"/>
        <v>2.2793334686565792</v>
      </c>
      <c r="K86" s="11" t="str">
        <f t="shared" si="9"/>
        <v>No</v>
      </c>
      <c r="L86" s="11">
        <f t="array" ref="L86">_xlfn.STDEV.P(IF($C$7:$C$229=C86,$E$7:$E$229))</f>
        <v>3593.1069330175474</v>
      </c>
    </row>
    <row r="87" spans="3:12" x14ac:dyDescent="0.25">
      <c r="C87" s="3" t="s">
        <v>11</v>
      </c>
      <c r="D87" s="9">
        <v>45149</v>
      </c>
      <c r="E87" s="7">
        <v>2862</v>
      </c>
      <c r="F87" s="11">
        <f t="shared" si="5"/>
        <v>-0.11079045272242999</v>
      </c>
      <c r="G87" s="11" t="str">
        <f t="shared" si="6"/>
        <v>No</v>
      </c>
      <c r="H87" s="11">
        <f t="shared" si="7"/>
        <v>3233.2</v>
      </c>
      <c r="I87" s="11" cm="1">
        <f t="array" ref="I87">_xlfn.STDEV.P(_xlfn._xlws.FILTER($E$7:$E$229,$C$7:$C$229=C87))</f>
        <v>1528.3663696901995</v>
      </c>
      <c r="J87" s="11">
        <f t="shared" si="8"/>
        <v>-0.242873703165323</v>
      </c>
      <c r="K87" s="11" t="str">
        <f t="shared" si="9"/>
        <v>No</v>
      </c>
      <c r="L87" s="11">
        <f t="array" ref="L87">_xlfn.STDEV.P(IF($C$7:$C$229=C87,$E$7:$E$229))</f>
        <v>1528.3663696901995</v>
      </c>
    </row>
    <row r="88" spans="3:12" x14ac:dyDescent="0.25">
      <c r="C88" s="3" t="s">
        <v>4</v>
      </c>
      <c r="D88" s="9">
        <v>45149</v>
      </c>
      <c r="E88" s="7">
        <v>3484</v>
      </c>
      <c r="F88" s="11">
        <f t="shared" si="5"/>
        <v>0.10554984735383546</v>
      </c>
      <c r="G88" s="11" t="str">
        <f t="shared" si="6"/>
        <v>No</v>
      </c>
      <c r="H88" s="11">
        <f t="shared" si="7"/>
        <v>3431.2307692307691</v>
      </c>
      <c r="I88" s="11" cm="1">
        <f t="array" ref="I88">_xlfn.STDEV.P(_xlfn._xlws.FILTER($E$7:$E$229,$C$7:$C$229=C88))</f>
        <v>1767.6265770734303</v>
      </c>
      <c r="J88" s="11">
        <f t="shared" si="8"/>
        <v>2.9853155329107057E-2</v>
      </c>
      <c r="K88" s="11" t="str">
        <f t="shared" si="9"/>
        <v>No</v>
      </c>
      <c r="L88" s="11">
        <f t="array" ref="L88">_xlfn.STDEV.P(IF($C$7:$C$229=C88,$E$7:$E$229))</f>
        <v>1767.6265770734303</v>
      </c>
    </row>
    <row r="89" spans="3:12" x14ac:dyDescent="0.25">
      <c r="C89" s="3" t="s">
        <v>10</v>
      </c>
      <c r="D89" s="9">
        <v>45149</v>
      </c>
      <c r="E89" s="7">
        <v>1612</v>
      </c>
      <c r="F89" s="11">
        <f t="shared" si="5"/>
        <v>-0.54555793679852616</v>
      </c>
      <c r="G89" s="11" t="str">
        <f t="shared" si="6"/>
        <v>No</v>
      </c>
      <c r="H89" s="11">
        <f t="shared" si="7"/>
        <v>2962.3846153846152</v>
      </c>
      <c r="I89" s="11" cm="1">
        <f t="array" ref="I89">_xlfn.STDEV.P(_xlfn._xlws.FILTER($E$7:$E$229,$C$7:$C$229=C89))</f>
        <v>2237.9254658126006</v>
      </c>
      <c r="J89" s="11">
        <f t="shared" si="8"/>
        <v>-0.60340911080981185</v>
      </c>
      <c r="K89" s="11" t="str">
        <f t="shared" si="9"/>
        <v>No</v>
      </c>
      <c r="L89" s="11">
        <f t="array" ref="L89">_xlfn.STDEV.P(IF($C$7:$C$229=C89,$E$7:$E$229))</f>
        <v>2237.9254658126006</v>
      </c>
    </row>
    <row r="90" spans="3:12" x14ac:dyDescent="0.25">
      <c r="C90" s="3" t="s">
        <v>11</v>
      </c>
      <c r="D90" s="9">
        <v>45149</v>
      </c>
      <c r="E90" s="7">
        <v>3087</v>
      </c>
      <c r="F90" s="11">
        <f t="shared" si="5"/>
        <v>-3.2532305588732678E-2</v>
      </c>
      <c r="G90" s="11" t="str">
        <f t="shared" si="6"/>
        <v>No</v>
      </c>
      <c r="H90" s="11">
        <f t="shared" si="7"/>
        <v>3233.2</v>
      </c>
      <c r="I90" s="11" cm="1">
        <f t="array" ref="I90">_xlfn.STDEV.P(_xlfn._xlws.FILTER($E$7:$E$229,$C$7:$C$229=C90))</f>
        <v>1528.3663696901995</v>
      </c>
      <c r="J90" s="11">
        <f t="shared" si="8"/>
        <v>-9.5657692356600738E-2</v>
      </c>
      <c r="K90" s="11" t="str">
        <f t="shared" si="9"/>
        <v>No</v>
      </c>
      <c r="L90" s="11">
        <f t="array" ref="L90">_xlfn.STDEV.P(IF($C$7:$C$229=C90,$E$7:$E$229))</f>
        <v>1528.3663696901995</v>
      </c>
    </row>
    <row r="91" spans="3:12" x14ac:dyDescent="0.25">
      <c r="C91" s="3" t="s">
        <v>9</v>
      </c>
      <c r="D91" s="9">
        <v>45149</v>
      </c>
      <c r="E91" s="7">
        <v>4507</v>
      </c>
      <c r="F91" s="11">
        <f t="shared" si="5"/>
        <v>0.46136355632171255</v>
      </c>
      <c r="G91" s="11" t="str">
        <f t="shared" si="6"/>
        <v>No</v>
      </c>
      <c r="H91" s="11">
        <f t="shared" si="7"/>
        <v>4605.5</v>
      </c>
      <c r="I91" s="11" cm="1">
        <f t="array" ref="I91">_xlfn.STDEV.P(_xlfn._xlws.FILTER($E$7:$E$229,$C$7:$C$229=C91))</f>
        <v>5152.1539815886708</v>
      </c>
      <c r="J91" s="11">
        <f t="shared" si="8"/>
        <v>-1.9118217419741682E-2</v>
      </c>
      <c r="K91" s="11" t="str">
        <f t="shared" si="9"/>
        <v>No</v>
      </c>
      <c r="L91" s="11">
        <f t="array" ref="L91">_xlfn.STDEV.P(IF($C$7:$C$229=C91,$E$7:$E$229))</f>
        <v>5152.1539815886708</v>
      </c>
    </row>
    <row r="92" spans="3:12" x14ac:dyDescent="0.25">
      <c r="C92" s="3" t="s">
        <v>4</v>
      </c>
      <c r="D92" s="9">
        <v>45149</v>
      </c>
      <c r="E92" s="7">
        <v>491</v>
      </c>
      <c r="F92" s="11">
        <f t="shared" si="5"/>
        <v>-0.93545741651796921</v>
      </c>
      <c r="G92" s="11" t="str">
        <f t="shared" si="6"/>
        <v>No</v>
      </c>
      <c r="H92" s="11">
        <f t="shared" si="7"/>
        <v>3431.2307692307691</v>
      </c>
      <c r="I92" s="11" cm="1">
        <f t="array" ref="I92">_xlfn.STDEV.P(_xlfn._xlws.FILTER($E$7:$E$229,$C$7:$C$229=C92))</f>
        <v>1767.6265770734303</v>
      </c>
      <c r="J92" s="11">
        <f t="shared" si="8"/>
        <v>-1.663377778636232</v>
      </c>
      <c r="K92" s="11" t="str">
        <f t="shared" si="9"/>
        <v>No</v>
      </c>
      <c r="L92" s="11">
        <f t="array" ref="L92">_xlfn.STDEV.P(IF($C$7:$C$229=C92,$E$7:$E$229))</f>
        <v>1767.6265770734303</v>
      </c>
    </row>
    <row r="93" spans="3:12" x14ac:dyDescent="0.25">
      <c r="C93" s="3" t="s">
        <v>9</v>
      </c>
      <c r="D93" s="9">
        <v>45149</v>
      </c>
      <c r="E93" s="7">
        <v>4924</v>
      </c>
      <c r="F93" s="11">
        <f t="shared" si="5"/>
        <v>0.60640198900949827</v>
      </c>
      <c r="G93" s="11" t="str">
        <f t="shared" si="6"/>
        <v>No</v>
      </c>
      <c r="H93" s="11">
        <f t="shared" si="7"/>
        <v>4605.5</v>
      </c>
      <c r="I93" s="11" cm="1">
        <f t="array" ref="I93">_xlfn.STDEV.P(_xlfn._xlws.FILTER($E$7:$E$229,$C$7:$C$229=C93))</f>
        <v>5152.1539815886708</v>
      </c>
      <c r="J93" s="11">
        <f t="shared" si="8"/>
        <v>6.1818804550129197E-2</v>
      </c>
      <c r="K93" s="11" t="str">
        <f t="shared" si="9"/>
        <v>No</v>
      </c>
      <c r="L93" s="11">
        <f t="array" ref="L93">_xlfn.STDEV.P(IF($C$7:$C$229=C93,$E$7:$E$229))</f>
        <v>5152.1539815886708</v>
      </c>
    </row>
    <row r="94" spans="3:12" x14ac:dyDescent="0.25">
      <c r="C94" s="3" t="s">
        <v>10</v>
      </c>
      <c r="D94" s="9">
        <v>45149</v>
      </c>
      <c r="E94" s="7">
        <v>2693</v>
      </c>
      <c r="F94" s="11">
        <f t="shared" si="5"/>
        <v>-0.1695710165695182</v>
      </c>
      <c r="G94" s="11" t="str">
        <f t="shared" si="6"/>
        <v>No</v>
      </c>
      <c r="H94" s="11">
        <f t="shared" si="7"/>
        <v>2962.3846153846152</v>
      </c>
      <c r="I94" s="11" cm="1">
        <f t="array" ref="I94">_xlfn.STDEV.P(_xlfn._xlws.FILTER($E$7:$E$229,$C$7:$C$229=C94))</f>
        <v>2237.9254658126006</v>
      </c>
      <c r="J94" s="11">
        <f t="shared" si="8"/>
        <v>-0.12037246972691314</v>
      </c>
      <c r="K94" s="11" t="str">
        <f t="shared" si="9"/>
        <v>No</v>
      </c>
      <c r="L94" s="11">
        <f t="array" ref="L94">_xlfn.STDEV.P(IF($C$7:$C$229=C94,$E$7:$E$229))</f>
        <v>2237.9254658126006</v>
      </c>
    </row>
    <row r="95" spans="3:12" x14ac:dyDescent="0.25">
      <c r="C95" s="3" t="s">
        <v>6</v>
      </c>
      <c r="D95" s="9">
        <v>45149</v>
      </c>
      <c r="E95" s="7">
        <v>1119</v>
      </c>
      <c r="F95" s="11">
        <f t="shared" si="5"/>
        <v>-0.71703023251813847</v>
      </c>
      <c r="G95" s="11" t="str">
        <f t="shared" si="6"/>
        <v>No</v>
      </c>
      <c r="H95" s="11">
        <f t="shared" si="7"/>
        <v>2821</v>
      </c>
      <c r="I95" s="11" cm="1">
        <f t="array" ref="I95">_xlfn.STDEV.P(_xlfn._xlws.FILTER($E$7:$E$229,$C$7:$C$229=C95))</f>
        <v>1953.5815128304032</v>
      </c>
      <c r="J95" s="11">
        <f t="shared" si="8"/>
        <v>-0.87122036568317807</v>
      </c>
      <c r="K95" s="11" t="str">
        <f t="shared" si="9"/>
        <v>No</v>
      </c>
      <c r="L95" s="11">
        <f t="array" ref="L95">_xlfn.STDEV.P(IF($C$7:$C$229=C95,$E$7:$E$229))</f>
        <v>1953.5815128304032</v>
      </c>
    </row>
    <row r="96" spans="3:12" x14ac:dyDescent="0.25">
      <c r="C96" s="3" t="s">
        <v>15</v>
      </c>
      <c r="D96" s="9">
        <v>45149</v>
      </c>
      <c r="E96" s="7">
        <v>1634</v>
      </c>
      <c r="F96" s="11">
        <f t="shared" si="5"/>
        <v>-0.53790602907878682</v>
      </c>
      <c r="G96" s="11" t="str">
        <f t="shared" si="6"/>
        <v>No</v>
      </c>
      <c r="H96" s="11">
        <f t="shared" si="7"/>
        <v>2350.6363636363635</v>
      </c>
      <c r="I96" s="11" cm="1">
        <f t="array" ref="I96">_xlfn.STDEV.P(_xlfn._xlws.FILTER($E$7:$E$229,$C$7:$C$229=C96))</f>
        <v>1376.1198595211811</v>
      </c>
      <c r="J96" s="11">
        <f t="shared" si="8"/>
        <v>-0.52076594831333667</v>
      </c>
      <c r="K96" s="11" t="str">
        <f t="shared" si="9"/>
        <v>No</v>
      </c>
      <c r="L96" s="11">
        <f t="array" ref="L96">_xlfn.STDEV.P(IF($C$7:$C$229=C96,$E$7:$E$229))</f>
        <v>1376.1198595211811</v>
      </c>
    </row>
    <row r="97" spans="3:12" x14ac:dyDescent="0.25">
      <c r="C97" s="3" t="s">
        <v>10</v>
      </c>
      <c r="D97" s="9">
        <v>45149</v>
      </c>
      <c r="E97" s="7">
        <v>55</v>
      </c>
      <c r="F97" s="11">
        <f t="shared" si="5"/>
        <v>-1.0871043149637116</v>
      </c>
      <c r="G97" s="11" t="str">
        <f t="shared" si="6"/>
        <v>No</v>
      </c>
      <c r="H97" s="11">
        <f t="shared" si="7"/>
        <v>2962.3846153846152</v>
      </c>
      <c r="I97" s="11" cm="1">
        <f t="array" ref="I97">_xlfn.STDEV.P(_xlfn._xlws.FILTER($E$7:$E$229,$C$7:$C$229=C97))</f>
        <v>2237.9254658126006</v>
      </c>
      <c r="J97" s="11">
        <f t="shared" si="8"/>
        <v>-1.2991427372354114</v>
      </c>
      <c r="K97" s="11" t="str">
        <f t="shared" si="9"/>
        <v>No</v>
      </c>
      <c r="L97" s="11">
        <f t="array" ref="L97">_xlfn.STDEV.P(IF($C$7:$C$229=C97,$E$7:$E$229))</f>
        <v>2237.9254658126006</v>
      </c>
    </row>
    <row r="98" spans="3:12" x14ac:dyDescent="0.25">
      <c r="C98" s="3" t="s">
        <v>3</v>
      </c>
      <c r="D98" s="9">
        <v>45152</v>
      </c>
      <c r="E98" s="7">
        <v>3797</v>
      </c>
      <c r="F98" s="11">
        <f t="shared" si="5"/>
        <v>0.21441562536648995</v>
      </c>
      <c r="G98" s="11" t="str">
        <f t="shared" si="6"/>
        <v>No</v>
      </c>
      <c r="H98" s="11">
        <f t="shared" si="7"/>
        <v>1907.3636363636363</v>
      </c>
      <c r="I98" s="11" cm="1">
        <f t="array" ref="I98">_xlfn.STDEV.P(_xlfn._xlws.FILTER($E$7:$E$229,$C$7:$C$229=C98))</f>
        <v>1789.0284957701724</v>
      </c>
      <c r="J98" s="11">
        <f t="shared" si="8"/>
        <v>1.0562360343080393</v>
      </c>
      <c r="K98" s="11" t="str">
        <f t="shared" si="9"/>
        <v>No</v>
      </c>
      <c r="L98" s="11">
        <f t="array" ref="L98">_xlfn.STDEV.P(IF($C$7:$C$229=C98,$E$7:$E$229))</f>
        <v>1789.0284957701724</v>
      </c>
    </row>
    <row r="99" spans="3:12" x14ac:dyDescent="0.25">
      <c r="C99" s="3" t="s">
        <v>11</v>
      </c>
      <c r="D99" s="9">
        <v>45152</v>
      </c>
      <c r="E99" s="7">
        <v>3816</v>
      </c>
      <c r="F99" s="11">
        <f t="shared" si="5"/>
        <v>0.2210240911244466</v>
      </c>
      <c r="G99" s="11" t="str">
        <f t="shared" si="6"/>
        <v>No</v>
      </c>
      <c r="H99" s="11">
        <f t="shared" si="7"/>
        <v>3233.2</v>
      </c>
      <c r="I99" s="11" cm="1">
        <f t="array" ref="I99">_xlfn.STDEV.P(_xlfn._xlws.FILTER($E$7:$E$229,$C$7:$C$229=C99))</f>
        <v>1528.3663696901995</v>
      </c>
      <c r="J99" s="11">
        <f t="shared" si="8"/>
        <v>0.38132218266365936</v>
      </c>
      <c r="K99" s="11" t="str">
        <f t="shared" si="9"/>
        <v>No</v>
      </c>
      <c r="L99" s="11">
        <f t="array" ref="L99">_xlfn.STDEV.P(IF($C$7:$C$229=C99,$E$7:$E$229))</f>
        <v>1528.3663696901995</v>
      </c>
    </row>
    <row r="100" spans="3:12" x14ac:dyDescent="0.25">
      <c r="C100" s="3" t="s">
        <v>5</v>
      </c>
      <c r="D100" s="9">
        <v>45152</v>
      </c>
      <c r="E100" s="7">
        <v>3211</v>
      </c>
      <c r="F100" s="11">
        <f t="shared" si="5"/>
        <v>1.0596628831616061E-2</v>
      </c>
      <c r="G100" s="11" t="str">
        <f t="shared" si="6"/>
        <v>No</v>
      </c>
      <c r="H100" s="11">
        <f t="shared" si="7"/>
        <v>2272.2666666666669</v>
      </c>
      <c r="I100" s="11" cm="1">
        <f t="array" ref="I100">_xlfn.STDEV.P(_xlfn._xlws.FILTER($E$7:$E$229,$C$7:$C$229=C100))</f>
        <v>1107.5620353832205</v>
      </c>
      <c r="J100" s="11">
        <f t="shared" si="8"/>
        <v>0.84756727239077667</v>
      </c>
      <c r="K100" s="11" t="str">
        <f t="shared" si="9"/>
        <v>No</v>
      </c>
      <c r="L100" s="11">
        <f t="array" ref="L100">_xlfn.STDEV.P(IF($C$7:$C$229=C100,$E$7:$E$229))</f>
        <v>1107.5620353832205</v>
      </c>
    </row>
    <row r="101" spans="3:12" x14ac:dyDescent="0.25">
      <c r="C101" s="3" t="s">
        <v>17</v>
      </c>
      <c r="D101" s="9">
        <v>45153</v>
      </c>
      <c r="E101" s="7">
        <v>8511</v>
      </c>
      <c r="F101" s="11">
        <f t="shared" si="5"/>
        <v>1.854010761314264</v>
      </c>
      <c r="G101" s="11" t="str">
        <f t="shared" si="6"/>
        <v>No</v>
      </c>
      <c r="H101" s="11">
        <f t="shared" si="7"/>
        <v>2993.2222222222222</v>
      </c>
      <c r="I101" s="11" cm="1">
        <f t="array" ref="I101">_xlfn.STDEV.P(_xlfn._xlws.FILTER($E$7:$E$229,$C$7:$C$229=C101))</f>
        <v>2152.7507353140218</v>
      </c>
      <c r="J101" s="11">
        <f t="shared" si="8"/>
        <v>2.5631289713497178</v>
      </c>
      <c r="K101" s="11" t="str">
        <f t="shared" si="9"/>
        <v>No</v>
      </c>
      <c r="L101" s="11">
        <f t="array" ref="L101">_xlfn.STDEV.P(IF($C$7:$C$229=C101,$E$7:$E$229))</f>
        <v>2152.7507353140218</v>
      </c>
    </row>
    <row r="102" spans="3:12" x14ac:dyDescent="0.25">
      <c r="C102" s="3" t="s">
        <v>22</v>
      </c>
      <c r="D102" s="9">
        <v>45153</v>
      </c>
      <c r="E102" s="7">
        <v>5196</v>
      </c>
      <c r="F102" s="11">
        <f t="shared" si="5"/>
        <v>0.70100739354445674</v>
      </c>
      <c r="G102" s="11" t="str">
        <f t="shared" si="6"/>
        <v>No</v>
      </c>
      <c r="H102" s="11">
        <f t="shared" si="7"/>
        <v>4249</v>
      </c>
      <c r="I102" s="11" cm="1">
        <f t="array" ref="I102">_xlfn.STDEV.P(_xlfn._xlws.FILTER($E$7:$E$229,$C$7:$C$229=C102))</f>
        <v>1547.8288019028462</v>
      </c>
      <c r="J102" s="11">
        <f t="shared" si="8"/>
        <v>0.61182476953251652</v>
      </c>
      <c r="K102" s="11" t="str">
        <f t="shared" si="9"/>
        <v>No</v>
      </c>
      <c r="L102" s="11">
        <f t="array" ref="L102">_xlfn.STDEV.P(IF($C$7:$C$229=C102,$E$7:$E$229))</f>
        <v>1547.8288019028462</v>
      </c>
    </row>
    <row r="103" spans="3:12" x14ac:dyDescent="0.25">
      <c r="C103" s="3" t="s">
        <v>6</v>
      </c>
      <c r="D103" s="9">
        <v>45153</v>
      </c>
      <c r="E103" s="7">
        <v>3230</v>
      </c>
      <c r="F103" s="11">
        <f t="shared" si="5"/>
        <v>1.7205094589572725E-2</v>
      </c>
      <c r="G103" s="11" t="str">
        <f t="shared" si="6"/>
        <v>No</v>
      </c>
      <c r="H103" s="11">
        <f t="shared" si="7"/>
        <v>2821</v>
      </c>
      <c r="I103" s="11" cm="1">
        <f t="array" ref="I103">_xlfn.STDEV.P(_xlfn._xlws.FILTER($E$7:$E$229,$C$7:$C$229=C103))</f>
        <v>1953.5815128304032</v>
      </c>
      <c r="J103" s="11">
        <f t="shared" si="8"/>
        <v>0.20935906554901282</v>
      </c>
      <c r="K103" s="11" t="str">
        <f t="shared" si="9"/>
        <v>No</v>
      </c>
      <c r="L103" s="11">
        <f t="array" ref="L103">_xlfn.STDEV.P(IF($C$7:$C$229=C103,$E$7:$E$229))</f>
        <v>1953.5815128304032</v>
      </c>
    </row>
    <row r="104" spans="3:12" x14ac:dyDescent="0.25">
      <c r="C104" s="3" t="s">
        <v>4</v>
      </c>
      <c r="D104" s="9">
        <v>45153</v>
      </c>
      <c r="E104" s="7">
        <v>4507</v>
      </c>
      <c r="F104" s="11">
        <f t="shared" si="5"/>
        <v>0.46136355632171255</v>
      </c>
      <c r="G104" s="11" t="str">
        <f t="shared" si="6"/>
        <v>No</v>
      </c>
      <c r="H104" s="11">
        <f t="shared" si="7"/>
        <v>3431.2307692307691</v>
      </c>
      <c r="I104" s="11" cm="1">
        <f t="array" ref="I104">_xlfn.STDEV.P(_xlfn._xlws.FILTER($E$7:$E$229,$C$7:$C$229=C104))</f>
        <v>1767.6265770734303</v>
      </c>
      <c r="J104" s="11">
        <f t="shared" si="8"/>
        <v>0.6085953021538788</v>
      </c>
      <c r="K104" s="11" t="str">
        <f t="shared" si="9"/>
        <v>No</v>
      </c>
      <c r="L104" s="11">
        <f t="array" ref="L104">_xlfn.STDEV.P(IF($C$7:$C$229=C104,$E$7:$E$229))</f>
        <v>1767.6265770734303</v>
      </c>
    </row>
    <row r="105" spans="3:12" x14ac:dyDescent="0.25">
      <c r="C105" s="3" t="s">
        <v>3</v>
      </c>
      <c r="D105" s="9">
        <v>45153</v>
      </c>
      <c r="E105" s="7">
        <v>861</v>
      </c>
      <c r="F105" s="11">
        <f t="shared" si="5"/>
        <v>-0.80676624123144469</v>
      </c>
      <c r="G105" s="11" t="str">
        <f t="shared" si="6"/>
        <v>No</v>
      </c>
      <c r="H105" s="11">
        <f t="shared" si="7"/>
        <v>1907.3636363636363</v>
      </c>
      <c r="I105" s="11" cm="1">
        <f t="array" ref="I105">_xlfn.STDEV.P(_xlfn._xlws.FILTER($E$7:$E$229,$C$7:$C$229=C105))</f>
        <v>1789.0284957701724</v>
      </c>
      <c r="J105" s="11">
        <f t="shared" si="8"/>
        <v>-0.58487812733982147</v>
      </c>
      <c r="K105" s="11" t="str">
        <f t="shared" si="9"/>
        <v>No</v>
      </c>
      <c r="L105" s="11">
        <f t="array" ref="L105">_xlfn.STDEV.P(IF($C$7:$C$229=C105,$E$7:$E$229))</f>
        <v>1789.0284957701724</v>
      </c>
    </row>
    <row r="106" spans="3:12" x14ac:dyDescent="0.25">
      <c r="C106" s="3" t="s">
        <v>18</v>
      </c>
      <c r="D106" s="9">
        <v>45153</v>
      </c>
      <c r="E106" s="7">
        <v>4555</v>
      </c>
      <c r="F106" s="11">
        <f t="shared" si="5"/>
        <v>0.47805862771023466</v>
      </c>
      <c r="G106" s="11" t="str">
        <f t="shared" si="6"/>
        <v>No</v>
      </c>
      <c r="H106" s="11">
        <f t="shared" si="7"/>
        <v>4742.1111111111113</v>
      </c>
      <c r="I106" s="11" cm="1">
        <f t="array" ref="I106">_xlfn.STDEV.P(_xlfn._xlws.FILTER($E$7:$E$229,$C$7:$C$229=C106))</f>
        <v>3593.1069330175474</v>
      </c>
      <c r="J106" s="11">
        <f t="shared" si="8"/>
        <v>-5.2075018806627189E-2</v>
      </c>
      <c r="K106" s="11" t="str">
        <f t="shared" si="9"/>
        <v>No</v>
      </c>
      <c r="L106" s="11">
        <f t="array" ref="L106">_xlfn.STDEV.P(IF($C$7:$C$229=C106,$E$7:$E$229))</f>
        <v>3593.1069330175474</v>
      </c>
    </row>
    <row r="107" spans="3:12" x14ac:dyDescent="0.25">
      <c r="C107" s="3" t="s">
        <v>10</v>
      </c>
      <c r="D107" s="9">
        <v>45153</v>
      </c>
      <c r="E107" s="7">
        <v>4967</v>
      </c>
      <c r="F107" s="11">
        <f t="shared" si="5"/>
        <v>0.62135799046171591</v>
      </c>
      <c r="G107" s="11" t="str">
        <f t="shared" si="6"/>
        <v>No</v>
      </c>
      <c r="H107" s="11">
        <f t="shared" si="7"/>
        <v>2962.3846153846152</v>
      </c>
      <c r="I107" s="11" cm="1">
        <f t="array" ref="I107">_xlfn.STDEV.P(_xlfn._xlws.FILTER($E$7:$E$229,$C$7:$C$229=C107))</f>
        <v>2237.9254658126006</v>
      </c>
      <c r="J107" s="11">
        <f t="shared" si="8"/>
        <v>0.89574716193128445</v>
      </c>
      <c r="K107" s="11" t="str">
        <f t="shared" si="9"/>
        <v>No</v>
      </c>
      <c r="L107" s="11">
        <f t="array" ref="L107">_xlfn.STDEV.P(IF($C$7:$C$229=C107,$E$7:$E$229))</f>
        <v>2237.9254658126006</v>
      </c>
    </row>
    <row r="108" spans="3:12" x14ac:dyDescent="0.25">
      <c r="C108" s="3" t="s">
        <v>4</v>
      </c>
      <c r="D108" s="9">
        <v>45154</v>
      </c>
      <c r="E108" s="7">
        <v>2533</v>
      </c>
      <c r="F108" s="11">
        <f t="shared" si="5"/>
        <v>-0.22522125453125849</v>
      </c>
      <c r="G108" s="11" t="str">
        <f t="shared" si="6"/>
        <v>No</v>
      </c>
      <c r="H108" s="11">
        <f t="shared" si="7"/>
        <v>3431.2307692307691</v>
      </c>
      <c r="I108" s="11" cm="1">
        <f t="array" ref="I108">_xlfn.STDEV.P(_xlfn._xlws.FILTER($E$7:$E$229,$C$7:$C$229=C108))</f>
        <v>1767.6265770734303</v>
      </c>
      <c r="J108" s="11">
        <f t="shared" si="8"/>
        <v>-0.50815640638189785</v>
      </c>
      <c r="K108" s="11" t="str">
        <f t="shared" si="9"/>
        <v>No</v>
      </c>
      <c r="L108" s="11">
        <f t="array" ref="L108">_xlfn.STDEV.P(IF($C$7:$C$229=C108,$E$7:$E$229))</f>
        <v>1767.6265770734303</v>
      </c>
    </row>
    <row r="109" spans="3:12" x14ac:dyDescent="0.25">
      <c r="C109" s="3" t="s">
        <v>8</v>
      </c>
      <c r="D109" s="9">
        <v>45154</v>
      </c>
      <c r="E109" s="7">
        <v>900</v>
      </c>
      <c r="F109" s="11">
        <f t="shared" si="5"/>
        <v>-0.79320149572827059</v>
      </c>
      <c r="G109" s="11" t="str">
        <f t="shared" si="6"/>
        <v>No</v>
      </c>
      <c r="H109" s="11">
        <f t="shared" si="7"/>
        <v>2944.3333333333335</v>
      </c>
      <c r="I109" s="11" cm="1">
        <f t="array" ref="I109">_xlfn.STDEV.P(_xlfn._xlws.FILTER($E$7:$E$229,$C$7:$C$229=C109))</f>
        <v>3080.6774507493569</v>
      </c>
      <c r="J109" s="11">
        <f t="shared" si="8"/>
        <v>-0.66359862920282719</v>
      </c>
      <c r="K109" s="11" t="str">
        <f t="shared" si="9"/>
        <v>No</v>
      </c>
      <c r="L109" s="11">
        <f t="array" ref="L109">_xlfn.STDEV.P(IF($C$7:$C$229=C109,$E$7:$E$229))</f>
        <v>3080.6774507493569</v>
      </c>
    </row>
    <row r="110" spans="3:12" x14ac:dyDescent="0.25">
      <c r="C110" s="3" t="s">
        <v>10</v>
      </c>
      <c r="D110" s="9">
        <v>45154</v>
      </c>
      <c r="E110" s="7">
        <v>9438</v>
      </c>
      <c r="F110" s="11">
        <f t="shared" si="5"/>
        <v>2.1764343275050968</v>
      </c>
      <c r="G110" s="11" t="str">
        <f t="shared" si="6"/>
        <v>No</v>
      </c>
      <c r="H110" s="11">
        <f t="shared" si="7"/>
        <v>2962.3846153846152</v>
      </c>
      <c r="I110" s="11" cm="1">
        <f t="array" ref="I110">_xlfn.STDEV.P(_xlfn._xlws.FILTER($E$7:$E$229,$C$7:$C$229=C110))</f>
        <v>2237.9254658126006</v>
      </c>
      <c r="J110" s="11">
        <f t="shared" si="8"/>
        <v>2.8935795599716547</v>
      </c>
      <c r="K110" s="11" t="str">
        <f t="shared" si="9"/>
        <v>No</v>
      </c>
      <c r="L110" s="11">
        <f t="array" ref="L110">_xlfn.STDEV.P(IF($C$7:$C$229=C110,$E$7:$E$229))</f>
        <v>2237.9254658126006</v>
      </c>
    </row>
    <row r="111" spans="3:12" x14ac:dyDescent="0.25">
      <c r="C111" s="3" t="s">
        <v>9</v>
      </c>
      <c r="D111" s="9">
        <v>45154</v>
      </c>
      <c r="E111" s="7">
        <v>19321</v>
      </c>
      <c r="F111" s="11">
        <f t="shared" si="5"/>
        <v>5.6138799636043437</v>
      </c>
      <c r="G111" s="11" t="str">
        <f t="shared" si="6"/>
        <v>Yes</v>
      </c>
      <c r="H111" s="11">
        <f t="shared" si="7"/>
        <v>4605.5</v>
      </c>
      <c r="I111" s="11" cm="1">
        <f t="array" ref="I111">_xlfn.STDEV.P(_xlfn._xlws.FILTER($E$7:$E$229,$C$7:$C$229=C111))</f>
        <v>5152.1539815886708</v>
      </c>
      <c r="J111" s="11">
        <f t="shared" si="8"/>
        <v>2.8561840450782614</v>
      </c>
      <c r="K111" s="11" t="str">
        <f t="shared" si="9"/>
        <v>No</v>
      </c>
      <c r="L111" s="11">
        <f t="array" ref="L111">_xlfn.STDEV.P(IF($C$7:$C$229=C111,$E$7:$E$229))</f>
        <v>5152.1539815886708</v>
      </c>
    </row>
    <row r="112" spans="3:12" x14ac:dyDescent="0.25">
      <c r="C112" s="3" t="s">
        <v>15</v>
      </c>
      <c r="D112" s="9">
        <v>45154</v>
      </c>
      <c r="E112" s="7">
        <v>1584</v>
      </c>
      <c r="F112" s="11">
        <f t="shared" si="5"/>
        <v>-0.55529672844183076</v>
      </c>
      <c r="G112" s="11" t="str">
        <f t="shared" si="6"/>
        <v>No</v>
      </c>
      <c r="H112" s="11">
        <f t="shared" si="7"/>
        <v>2350.6363636363635</v>
      </c>
      <c r="I112" s="11" cm="1">
        <f t="array" ref="I112">_xlfn.STDEV.P(_xlfn._xlws.FILTER($E$7:$E$229,$C$7:$C$229=C112))</f>
        <v>1376.1198595211811</v>
      </c>
      <c r="J112" s="11">
        <f t="shared" si="8"/>
        <v>-0.55709999265842547</v>
      </c>
      <c r="K112" s="11" t="str">
        <f t="shared" si="9"/>
        <v>No</v>
      </c>
      <c r="L112" s="11">
        <f t="array" ref="L112">_xlfn.STDEV.P(IF($C$7:$C$229=C112,$E$7:$E$229))</f>
        <v>1376.1198595211811</v>
      </c>
    </row>
    <row r="113" spans="3:12" x14ac:dyDescent="0.25">
      <c r="C113" s="3" t="s">
        <v>19</v>
      </c>
      <c r="D113" s="9">
        <v>45154</v>
      </c>
      <c r="E113" s="7">
        <v>579</v>
      </c>
      <c r="F113" s="11">
        <f t="shared" si="5"/>
        <v>-0.90484978563901208</v>
      </c>
      <c r="G113" s="11" t="str">
        <f t="shared" si="6"/>
        <v>No</v>
      </c>
      <c r="H113" s="11">
        <f t="shared" si="7"/>
        <v>2891.3571428571427</v>
      </c>
      <c r="I113" s="11" cm="1">
        <f t="array" ref="I113">_xlfn.STDEV.P(_xlfn._xlws.FILTER($E$7:$E$229,$C$7:$C$229=C113))</f>
        <v>2696.5477031393534</v>
      </c>
      <c r="J113" s="11">
        <f t="shared" si="8"/>
        <v>-0.85752502733961222</v>
      </c>
      <c r="K113" s="11" t="str">
        <f t="shared" si="9"/>
        <v>No</v>
      </c>
      <c r="L113" s="11">
        <f t="array" ref="L113">_xlfn.STDEV.P(IF($C$7:$C$229=C113,$E$7:$E$229))</f>
        <v>2696.5477031393534</v>
      </c>
    </row>
    <row r="114" spans="3:12" x14ac:dyDescent="0.25">
      <c r="C114" s="3" t="s">
        <v>23</v>
      </c>
      <c r="D114" s="9">
        <v>45154</v>
      </c>
      <c r="E114" s="7">
        <v>475</v>
      </c>
      <c r="F114" s="11">
        <f t="shared" si="5"/>
        <v>-0.94102244031414328</v>
      </c>
      <c r="G114" s="11" t="str">
        <f t="shared" si="6"/>
        <v>No</v>
      </c>
      <c r="H114" s="11">
        <f t="shared" si="7"/>
        <v>1232</v>
      </c>
      <c r="I114" s="11" cm="1">
        <f t="array" ref="I114">_xlfn.STDEV.P(_xlfn._xlws.FILTER($E$7:$E$229,$C$7:$C$229=C114))</f>
        <v>1465.4460754323238</v>
      </c>
      <c r="J114" s="11">
        <f t="shared" si="8"/>
        <v>-0.51656626107970305</v>
      </c>
      <c r="K114" s="11" t="str">
        <f t="shared" si="9"/>
        <v>No</v>
      </c>
      <c r="L114" s="11">
        <f t="array" ref="L114">_xlfn.STDEV.P(IF($C$7:$C$229=C114,$E$7:$E$229))</f>
        <v>1465.4460754323238</v>
      </c>
    </row>
    <row r="115" spans="3:12" x14ac:dyDescent="0.25">
      <c r="C115" s="3" t="s">
        <v>15</v>
      </c>
      <c r="D115" s="9">
        <v>45154</v>
      </c>
      <c r="E115" s="7">
        <v>2650</v>
      </c>
      <c r="F115" s="11">
        <f t="shared" si="5"/>
        <v>-0.18452701802173591</v>
      </c>
      <c r="G115" s="11" t="str">
        <f t="shared" si="6"/>
        <v>No</v>
      </c>
      <c r="H115" s="11">
        <f t="shared" si="7"/>
        <v>2350.6363636363635</v>
      </c>
      <c r="I115" s="11" cm="1">
        <f t="array" ref="I115">_xlfn.STDEV.P(_xlfn._xlws.FILTER($E$7:$E$229,$C$7:$C$229=C115))</f>
        <v>1376.1198595211811</v>
      </c>
      <c r="J115" s="11">
        <f t="shared" si="8"/>
        <v>0.21754183277886829</v>
      </c>
      <c r="K115" s="11" t="str">
        <f t="shared" si="9"/>
        <v>No</v>
      </c>
      <c r="L115" s="11">
        <f t="array" ref="L115">_xlfn.STDEV.P(IF($C$7:$C$229=C115,$E$7:$E$229))</f>
        <v>1376.1198595211811</v>
      </c>
    </row>
    <row r="116" spans="3:12" x14ac:dyDescent="0.25">
      <c r="C116" s="3" t="s">
        <v>3</v>
      </c>
      <c r="D116" s="9">
        <v>45154</v>
      </c>
      <c r="E116" s="7">
        <v>388</v>
      </c>
      <c r="F116" s="11">
        <f t="shared" si="5"/>
        <v>-0.97128225720583949</v>
      </c>
      <c r="G116" s="11" t="str">
        <f t="shared" si="6"/>
        <v>No</v>
      </c>
      <c r="H116" s="11">
        <f t="shared" si="7"/>
        <v>1907.3636363636363</v>
      </c>
      <c r="I116" s="11" cm="1">
        <f t="array" ref="I116">_xlfn.STDEV.P(_xlfn._xlws.FILTER($E$7:$E$229,$C$7:$C$229=C116))</f>
        <v>1789.0284957701724</v>
      </c>
      <c r="J116" s="11">
        <f t="shared" si="8"/>
        <v>-0.84926743199221877</v>
      </c>
      <c r="K116" s="11" t="str">
        <f t="shared" si="9"/>
        <v>No</v>
      </c>
      <c r="L116" s="11">
        <f t="array" ref="L116">_xlfn.STDEV.P(IF($C$7:$C$229=C116,$E$7:$E$229))</f>
        <v>1789.0284957701724</v>
      </c>
    </row>
    <row r="117" spans="3:12" x14ac:dyDescent="0.25">
      <c r="C117" s="3" t="s">
        <v>15</v>
      </c>
      <c r="D117" s="9">
        <v>45154</v>
      </c>
      <c r="E117" s="7">
        <v>211</v>
      </c>
      <c r="F117" s="11">
        <f t="shared" si="5"/>
        <v>-1.0328453329510148</v>
      </c>
      <c r="G117" s="11" t="str">
        <f t="shared" si="6"/>
        <v>No</v>
      </c>
      <c r="H117" s="11">
        <f t="shared" si="7"/>
        <v>2350.6363636363635</v>
      </c>
      <c r="I117" s="11" cm="1">
        <f t="array" ref="I117">_xlfn.STDEV.P(_xlfn._xlws.FILTER($E$7:$E$229,$C$7:$C$229=C117))</f>
        <v>1376.1198595211811</v>
      </c>
      <c r="J117" s="11">
        <f t="shared" si="8"/>
        <v>-1.5548328503745648</v>
      </c>
      <c r="K117" s="11" t="str">
        <f t="shared" si="9"/>
        <v>No</v>
      </c>
      <c r="L117" s="11">
        <f t="array" ref="L117">_xlfn.STDEV.P(IF($C$7:$C$229=C117,$E$7:$E$229))</f>
        <v>1376.1198595211811</v>
      </c>
    </row>
    <row r="118" spans="3:12" x14ac:dyDescent="0.25">
      <c r="C118" s="3" t="s">
        <v>7</v>
      </c>
      <c r="D118" s="9">
        <v>45155</v>
      </c>
      <c r="E118" s="7">
        <v>3180</v>
      </c>
      <c r="F118" s="11">
        <f t="shared" si="5"/>
        <v>-1.8560477347112398E-4</v>
      </c>
      <c r="G118" s="11" t="str">
        <f t="shared" si="6"/>
        <v>No</v>
      </c>
      <c r="H118" s="11">
        <f t="shared" si="7"/>
        <v>3071.4444444444443</v>
      </c>
      <c r="I118" s="11" cm="1">
        <f t="array" ref="I118">_xlfn.STDEV.P(_xlfn._xlws.FILTER($E$7:$E$229,$C$7:$C$229=C118))</f>
        <v>2793.5250575059426</v>
      </c>
      <c r="J118" s="11">
        <f t="shared" si="8"/>
        <v>3.8859703536174468E-2</v>
      </c>
      <c r="K118" s="11" t="str">
        <f t="shared" si="9"/>
        <v>No</v>
      </c>
      <c r="L118" s="11">
        <f t="array" ref="L118">_xlfn.STDEV.P(IF($C$7:$C$229=C118,$E$7:$E$229))</f>
        <v>2793.5250575059426</v>
      </c>
    </row>
    <row r="119" spans="3:12" x14ac:dyDescent="0.25">
      <c r="C119" s="3" t="s">
        <v>6</v>
      </c>
      <c r="D119" s="9">
        <v>45155</v>
      </c>
      <c r="E119" s="7">
        <v>2018</v>
      </c>
      <c r="F119" s="11">
        <f t="shared" si="5"/>
        <v>-0.40434545797061011</v>
      </c>
      <c r="G119" s="11" t="str">
        <f t="shared" si="6"/>
        <v>No</v>
      </c>
      <c r="H119" s="11">
        <f t="shared" si="7"/>
        <v>2821</v>
      </c>
      <c r="I119" s="11" cm="1">
        <f t="array" ref="I119">_xlfn.STDEV.P(_xlfn._xlws.FILTER($E$7:$E$229,$C$7:$C$229=C119))</f>
        <v>1953.5815128304032</v>
      </c>
      <c r="J119" s="11">
        <f t="shared" si="8"/>
        <v>-0.41103992576004228</v>
      </c>
      <c r="K119" s="11" t="str">
        <f t="shared" si="9"/>
        <v>No</v>
      </c>
      <c r="L119" s="11">
        <f t="array" ref="L119">_xlfn.STDEV.P(IF($C$7:$C$229=C119,$E$7:$E$229))</f>
        <v>1953.5815128304032</v>
      </c>
    </row>
    <row r="120" spans="3:12" x14ac:dyDescent="0.25">
      <c r="C120" s="3" t="s">
        <v>13</v>
      </c>
      <c r="D120" s="9">
        <v>45155</v>
      </c>
      <c r="E120" s="7">
        <v>2470</v>
      </c>
      <c r="F120" s="11">
        <f t="shared" si="5"/>
        <v>-0.24713353572869376</v>
      </c>
      <c r="G120" s="11" t="str">
        <f t="shared" si="6"/>
        <v>No</v>
      </c>
      <c r="H120" s="11">
        <f t="shared" si="7"/>
        <v>2850.909090909091</v>
      </c>
      <c r="I120" s="11" cm="1">
        <f t="array" ref="I120">_xlfn.STDEV.P(_xlfn._xlws.FILTER($E$7:$E$229,$C$7:$C$229=C120))</f>
        <v>1739.0994249660814</v>
      </c>
      <c r="J120" s="11">
        <f t="shared" si="8"/>
        <v>-0.219026632658751</v>
      </c>
      <c r="K120" s="11" t="str">
        <f t="shared" si="9"/>
        <v>No</v>
      </c>
      <c r="L120" s="11">
        <f t="array" ref="L120">_xlfn.STDEV.P(IF($C$7:$C$229=C120,$E$7:$E$229))</f>
        <v>1739.0994249660814</v>
      </c>
    </row>
    <row r="121" spans="3:12" x14ac:dyDescent="0.25">
      <c r="C121" s="3" t="s">
        <v>5</v>
      </c>
      <c r="D121" s="9">
        <v>45155</v>
      </c>
      <c r="E121" s="7">
        <v>1360</v>
      </c>
      <c r="F121" s="11">
        <f t="shared" si="5"/>
        <v>-0.63320706158826712</v>
      </c>
      <c r="G121" s="11" t="str">
        <f t="shared" si="6"/>
        <v>No</v>
      </c>
      <c r="H121" s="11">
        <f t="shared" si="7"/>
        <v>2272.2666666666669</v>
      </c>
      <c r="I121" s="11" cm="1">
        <f t="array" ref="I121">_xlfn.STDEV.P(_xlfn._xlws.FILTER($E$7:$E$229,$C$7:$C$229=C121))</f>
        <v>1107.5620353832205</v>
      </c>
      <c r="J121" s="11">
        <f t="shared" si="8"/>
        <v>-0.82367094349800396</v>
      </c>
      <c r="K121" s="11" t="str">
        <f t="shared" si="9"/>
        <v>No</v>
      </c>
      <c r="L121" s="11">
        <f t="array" ref="L121">_xlfn.STDEV.P(IF($C$7:$C$229=C121,$E$7:$E$229))</f>
        <v>1107.5620353832205</v>
      </c>
    </row>
    <row r="122" spans="3:12" x14ac:dyDescent="0.25">
      <c r="C122" s="3" t="s">
        <v>13</v>
      </c>
      <c r="D122" s="9">
        <v>45155</v>
      </c>
      <c r="E122" s="7">
        <v>3788</v>
      </c>
      <c r="F122" s="11">
        <f t="shared" si="5"/>
        <v>0.21128529948114205</v>
      </c>
      <c r="G122" s="11" t="str">
        <f t="shared" si="6"/>
        <v>No</v>
      </c>
      <c r="H122" s="11">
        <f t="shared" si="7"/>
        <v>2850.909090909091</v>
      </c>
      <c r="I122" s="11" cm="1">
        <f t="array" ref="I122">_xlfn.STDEV.P(_xlfn._xlws.FILTER($E$7:$E$229,$C$7:$C$229=C122))</f>
        <v>1739.0994249660814</v>
      </c>
      <c r="J122" s="11">
        <f t="shared" si="8"/>
        <v>0.53883688053613477</v>
      </c>
      <c r="K122" s="11" t="str">
        <f t="shared" si="9"/>
        <v>No</v>
      </c>
      <c r="L122" s="11">
        <f t="array" ref="L122">_xlfn.STDEV.P(IF($C$7:$C$229=C122,$E$7:$E$229))</f>
        <v>1739.0994249660814</v>
      </c>
    </row>
    <row r="123" spans="3:12" x14ac:dyDescent="0.25">
      <c r="C123" s="3" t="s">
        <v>7</v>
      </c>
      <c r="D123" s="9">
        <v>45155</v>
      </c>
      <c r="E123" s="7">
        <v>102</v>
      </c>
      <c r="F123" s="11">
        <f t="shared" si="5"/>
        <v>-1.0707570575624503</v>
      </c>
      <c r="G123" s="11" t="str">
        <f t="shared" si="6"/>
        <v>No</v>
      </c>
      <c r="H123" s="11">
        <f t="shared" si="7"/>
        <v>3071.4444444444443</v>
      </c>
      <c r="I123" s="11" cm="1">
        <f t="array" ref="I123">_xlfn.STDEV.P(_xlfn._xlws.FILTER($E$7:$E$229,$C$7:$C$229=C123))</f>
        <v>2793.5250575059426</v>
      </c>
      <c r="J123" s="11">
        <f t="shared" si="8"/>
        <v>-1.0629739785099914</v>
      </c>
      <c r="K123" s="11" t="str">
        <f t="shared" si="9"/>
        <v>No</v>
      </c>
      <c r="L123" s="11">
        <f t="array" ref="L123">_xlfn.STDEV.P(IF($C$7:$C$229=C123,$E$7:$E$229))</f>
        <v>2793.5250575059426</v>
      </c>
    </row>
    <row r="124" spans="3:12" x14ac:dyDescent="0.25">
      <c r="C124" s="3" t="s">
        <v>20</v>
      </c>
      <c r="D124" s="9">
        <v>45155</v>
      </c>
      <c r="E124" s="7">
        <v>7285</v>
      </c>
      <c r="F124" s="11">
        <f t="shared" si="5"/>
        <v>1.4275908129324288</v>
      </c>
      <c r="G124" s="11" t="str">
        <f t="shared" si="6"/>
        <v>No</v>
      </c>
      <c r="H124" s="11">
        <f t="shared" si="7"/>
        <v>7666.25</v>
      </c>
      <c r="I124" s="11" cm="1">
        <f t="array" ref="I124">_xlfn.STDEV.P(_xlfn._xlws.FILTER($E$7:$E$229,$C$7:$C$229=C124))</f>
        <v>3189.3846095289291</v>
      </c>
      <c r="J124" s="11">
        <f t="shared" si="8"/>
        <v>-0.11953716678162264</v>
      </c>
      <c r="K124" s="11" t="str">
        <f t="shared" si="9"/>
        <v>No</v>
      </c>
      <c r="L124" s="11">
        <f t="array" ref="L124">_xlfn.STDEV.P(IF($C$7:$C$229=C124,$E$7:$E$229))</f>
        <v>3189.3846095289291</v>
      </c>
    </row>
    <row r="125" spans="3:12" x14ac:dyDescent="0.25">
      <c r="C125" s="3" t="s">
        <v>4</v>
      </c>
      <c r="D125" s="9">
        <v>45155</v>
      </c>
      <c r="E125" s="7">
        <v>5206</v>
      </c>
      <c r="F125" s="11">
        <f t="shared" si="5"/>
        <v>0.70448553341706555</v>
      </c>
      <c r="G125" s="11" t="str">
        <f t="shared" si="6"/>
        <v>No</v>
      </c>
      <c r="H125" s="11">
        <f t="shared" si="7"/>
        <v>3431.2307692307691</v>
      </c>
      <c r="I125" s="11" cm="1">
        <f t="array" ref="I125">_xlfn.STDEV.P(_xlfn._xlws.FILTER($E$7:$E$229,$C$7:$C$229=C125))</f>
        <v>1767.6265770734303</v>
      </c>
      <c r="J125" s="11">
        <f t="shared" si="8"/>
        <v>1.0040408159666994</v>
      </c>
      <c r="K125" s="11" t="str">
        <f t="shared" si="9"/>
        <v>No</v>
      </c>
      <c r="L125" s="11">
        <f t="array" ref="L125">_xlfn.STDEV.P(IF($C$7:$C$229=C125,$E$7:$E$229))</f>
        <v>1767.6265770734303</v>
      </c>
    </row>
    <row r="126" spans="3:12" x14ac:dyDescent="0.25">
      <c r="C126" s="3" t="s">
        <v>10</v>
      </c>
      <c r="D126" s="9">
        <v>45155</v>
      </c>
      <c r="E126" s="7">
        <v>660</v>
      </c>
      <c r="F126" s="11">
        <f t="shared" si="5"/>
        <v>-0.87667685267088102</v>
      </c>
      <c r="G126" s="11" t="str">
        <f t="shared" si="6"/>
        <v>No</v>
      </c>
      <c r="H126" s="11">
        <f t="shared" si="7"/>
        <v>2962.3846153846152</v>
      </c>
      <c r="I126" s="11" cm="1">
        <f t="array" ref="I126">_xlfn.STDEV.P(_xlfn._xlws.FILTER($E$7:$E$229,$C$7:$C$229=C126))</f>
        <v>2237.9254658126006</v>
      </c>
      <c r="J126" s="11">
        <f t="shared" si="8"/>
        <v>-1.0288030814952138</v>
      </c>
      <c r="K126" s="11" t="str">
        <f t="shared" si="9"/>
        <v>No</v>
      </c>
      <c r="L126" s="11">
        <f t="array" ref="L126">_xlfn.STDEV.P(IF($C$7:$C$229=C126,$E$7:$E$229))</f>
        <v>2237.9254658126006</v>
      </c>
    </row>
    <row r="127" spans="3:12" x14ac:dyDescent="0.25">
      <c r="C127" s="3" t="s">
        <v>19</v>
      </c>
      <c r="D127" s="9">
        <v>45155</v>
      </c>
      <c r="E127" s="7">
        <v>6295</v>
      </c>
      <c r="F127" s="11">
        <f t="shared" si="5"/>
        <v>1.0832549655441606</v>
      </c>
      <c r="G127" s="11" t="str">
        <f t="shared" si="6"/>
        <v>No</v>
      </c>
      <c r="H127" s="11">
        <f t="shared" si="7"/>
        <v>2891.3571428571427</v>
      </c>
      <c r="I127" s="11" cm="1">
        <f t="array" ref="I127">_xlfn.STDEV.P(_xlfn._xlws.FILTER($E$7:$E$229,$C$7:$C$229=C127))</f>
        <v>2696.5477031393534</v>
      </c>
      <c r="J127" s="11">
        <f t="shared" si="8"/>
        <v>1.2622223790739155</v>
      </c>
      <c r="K127" s="11" t="str">
        <f t="shared" si="9"/>
        <v>No</v>
      </c>
      <c r="L127" s="11">
        <f t="array" ref="L127">_xlfn.STDEV.P(IF($C$7:$C$229=C127,$E$7:$E$229))</f>
        <v>2696.5477031393534</v>
      </c>
    </row>
    <row r="128" spans="3:12" x14ac:dyDescent="0.25">
      <c r="C128" s="3" t="s">
        <v>6</v>
      </c>
      <c r="D128" s="9">
        <v>45155</v>
      </c>
      <c r="E128" s="7">
        <v>7008</v>
      </c>
      <c r="F128" s="11">
        <f t="shared" si="5"/>
        <v>1.3312463384611657</v>
      </c>
      <c r="G128" s="11" t="str">
        <f t="shared" si="6"/>
        <v>No</v>
      </c>
      <c r="H128" s="11">
        <f t="shared" si="7"/>
        <v>2821</v>
      </c>
      <c r="I128" s="11" cm="1">
        <f t="array" ref="I128">_xlfn.STDEV.P(_xlfn._xlws.FILTER($E$7:$E$229,$C$7:$C$229=C128))</f>
        <v>1953.5815128304032</v>
      </c>
      <c r="J128" s="11">
        <f t="shared" si="8"/>
        <v>2.1432430500090871</v>
      </c>
      <c r="K128" s="11" t="str">
        <f t="shared" si="9"/>
        <v>No</v>
      </c>
      <c r="L128" s="11">
        <f t="array" ref="L128">_xlfn.STDEV.P(IF($C$7:$C$229=C128,$E$7:$E$229))</f>
        <v>1953.5815128304032</v>
      </c>
    </row>
    <row r="129" spans="3:12" x14ac:dyDescent="0.25">
      <c r="C129" s="3" t="s">
        <v>5</v>
      </c>
      <c r="D129" s="9">
        <v>45155</v>
      </c>
      <c r="E129" s="7">
        <v>1587</v>
      </c>
      <c r="F129" s="11">
        <f t="shared" si="5"/>
        <v>-0.55425328648004812</v>
      </c>
      <c r="G129" s="11" t="str">
        <f t="shared" si="6"/>
        <v>No</v>
      </c>
      <c r="H129" s="11">
        <f t="shared" si="7"/>
        <v>2272.2666666666669</v>
      </c>
      <c r="I129" s="11" cm="1">
        <f t="array" ref="I129">_xlfn.STDEV.P(_xlfn._xlws.FILTER($E$7:$E$229,$C$7:$C$229=C129))</f>
        <v>1107.5620353832205</v>
      </c>
      <c r="J129" s="11">
        <f t="shared" si="8"/>
        <v>-0.61871628385091959</v>
      </c>
      <c r="K129" s="11" t="str">
        <f t="shared" si="9"/>
        <v>No</v>
      </c>
      <c r="L129" s="11">
        <f t="array" ref="L129">_xlfn.STDEV.P(IF($C$7:$C$229=C129,$E$7:$E$229))</f>
        <v>1107.5620353832205</v>
      </c>
    </row>
    <row r="130" spans="3:12" x14ac:dyDescent="0.25">
      <c r="C130" s="3" t="s">
        <v>19</v>
      </c>
      <c r="D130" s="9">
        <v>45155</v>
      </c>
      <c r="E130" s="7">
        <v>3316</v>
      </c>
      <c r="F130" s="11">
        <f t="shared" si="5"/>
        <v>4.7117097494008137E-2</v>
      </c>
      <c r="G130" s="11" t="str">
        <f t="shared" si="6"/>
        <v>No</v>
      </c>
      <c r="H130" s="11">
        <f t="shared" si="7"/>
        <v>2891.3571428571427</v>
      </c>
      <c r="I130" s="11" cm="1">
        <f t="array" ref="I130">_xlfn.STDEV.P(_xlfn._xlws.FILTER($E$7:$E$229,$C$7:$C$229=C130))</f>
        <v>2696.5477031393534</v>
      </c>
      <c r="J130" s="11">
        <f t="shared" si="8"/>
        <v>0.15747648619324739</v>
      </c>
      <c r="K130" s="11" t="str">
        <f t="shared" si="9"/>
        <v>No</v>
      </c>
      <c r="L130" s="11">
        <f t="array" ref="L130">_xlfn.STDEV.P(IF($C$7:$C$229=C130,$E$7:$E$229))</f>
        <v>2696.5477031393534</v>
      </c>
    </row>
    <row r="131" spans="3:12" x14ac:dyDescent="0.25">
      <c r="C131" s="3" t="s">
        <v>17</v>
      </c>
      <c r="D131" s="9">
        <v>45155</v>
      </c>
      <c r="E131" s="7">
        <v>1530</v>
      </c>
      <c r="F131" s="11">
        <f t="shared" si="5"/>
        <v>-0.57407868375391802</v>
      </c>
      <c r="G131" s="11" t="str">
        <f t="shared" si="6"/>
        <v>No</v>
      </c>
      <c r="H131" s="11">
        <f t="shared" si="7"/>
        <v>2993.2222222222222</v>
      </c>
      <c r="I131" s="11" cm="1">
        <f t="array" ref="I131">_xlfn.STDEV.P(_xlfn._xlws.FILTER($E$7:$E$229,$C$7:$C$229=C131))</f>
        <v>2152.7507353140218</v>
      </c>
      <c r="J131" s="11">
        <f t="shared" si="8"/>
        <v>-0.67969886072703256</v>
      </c>
      <c r="K131" s="11" t="str">
        <f t="shared" si="9"/>
        <v>No</v>
      </c>
      <c r="L131" s="11">
        <f t="array" ref="L131">_xlfn.STDEV.P(IF($C$7:$C$229=C131,$E$7:$E$229))</f>
        <v>2152.7507353140218</v>
      </c>
    </row>
    <row r="132" spans="3:12" x14ac:dyDescent="0.25">
      <c r="C132" s="3" t="s">
        <v>9</v>
      </c>
      <c r="D132" s="9">
        <v>45155</v>
      </c>
      <c r="E132" s="7">
        <v>5885</v>
      </c>
      <c r="F132" s="11">
        <f t="shared" si="5"/>
        <v>0.94065123076720103</v>
      </c>
      <c r="G132" s="11" t="str">
        <f t="shared" si="6"/>
        <v>No</v>
      </c>
      <c r="H132" s="11">
        <f t="shared" si="7"/>
        <v>4605.5</v>
      </c>
      <c r="I132" s="11" cm="1">
        <f t="array" ref="I132">_xlfn.STDEV.P(_xlfn._xlws.FILTER($E$7:$E$229,$C$7:$C$229=C132))</f>
        <v>5152.1539815886708</v>
      </c>
      <c r="J132" s="11">
        <f t="shared" si="8"/>
        <v>0.24834273287877648</v>
      </c>
      <c r="K132" s="11" t="str">
        <f t="shared" si="9"/>
        <v>No</v>
      </c>
      <c r="L132" s="11">
        <f t="array" ref="L132">_xlfn.STDEV.P(IF($C$7:$C$229=C132,$E$7:$E$229))</f>
        <v>5152.1539815886708</v>
      </c>
    </row>
    <row r="133" spans="3:12" x14ac:dyDescent="0.25">
      <c r="C133" s="3" t="s">
        <v>11</v>
      </c>
      <c r="D133" s="9">
        <v>45156</v>
      </c>
      <c r="E133" s="7">
        <v>2143</v>
      </c>
      <c r="F133" s="11">
        <f t="shared" si="5"/>
        <v>-0.36086870956300049</v>
      </c>
      <c r="G133" s="11" t="str">
        <f t="shared" si="6"/>
        <v>No</v>
      </c>
      <c r="H133" s="11">
        <f t="shared" si="7"/>
        <v>3233.2</v>
      </c>
      <c r="I133" s="11" cm="1">
        <f t="array" ref="I133">_xlfn.STDEV.P(_xlfn._xlws.FILTER($E$7:$E$229,$C$7:$C$229=C133))</f>
        <v>1528.3663696901995</v>
      </c>
      <c r="J133" s="11">
        <f t="shared" si="8"/>
        <v>-0.71331064437186209</v>
      </c>
      <c r="K133" s="11" t="str">
        <f t="shared" si="9"/>
        <v>No</v>
      </c>
      <c r="L133" s="11">
        <f t="array" ref="L133">_xlfn.STDEV.P(IF($C$7:$C$229=C133,$E$7:$E$229))</f>
        <v>1528.3663696901995</v>
      </c>
    </row>
    <row r="134" spans="3:12" x14ac:dyDescent="0.25">
      <c r="C134" s="3" t="s">
        <v>17</v>
      </c>
      <c r="D134" s="9">
        <v>45156</v>
      </c>
      <c r="E134" s="7">
        <v>4289</v>
      </c>
      <c r="F134" s="11">
        <f t="shared" si="5"/>
        <v>0.3855401070988414</v>
      </c>
      <c r="G134" s="11" t="str">
        <f t="shared" si="6"/>
        <v>No</v>
      </c>
      <c r="H134" s="11">
        <f t="shared" si="7"/>
        <v>2993.2222222222222</v>
      </c>
      <c r="I134" s="11" cm="1">
        <f t="array" ref="I134">_xlfn.STDEV.P(_xlfn._xlws.FILTER($E$7:$E$229,$C$7:$C$229=C134))</f>
        <v>2152.7507353140218</v>
      </c>
      <c r="J134" s="11">
        <f t="shared" si="8"/>
        <v>0.60191723849940426</v>
      </c>
      <c r="K134" s="11" t="str">
        <f t="shared" si="9"/>
        <v>No</v>
      </c>
      <c r="L134" s="11">
        <f t="array" ref="L134">_xlfn.STDEV.P(IF($C$7:$C$229=C134,$E$7:$E$229))</f>
        <v>2152.7507353140218</v>
      </c>
    </row>
    <row r="135" spans="3:12" x14ac:dyDescent="0.25">
      <c r="C135" s="3" t="s">
        <v>11</v>
      </c>
      <c r="D135" s="9">
        <v>45156</v>
      </c>
      <c r="E135" s="7">
        <v>3681</v>
      </c>
      <c r="F135" s="11">
        <f t="shared" si="5"/>
        <v>0.17406920284422822</v>
      </c>
      <c r="G135" s="11" t="str">
        <f t="shared" si="6"/>
        <v>No</v>
      </c>
      <c r="H135" s="11">
        <f t="shared" si="7"/>
        <v>3233.2</v>
      </c>
      <c r="I135" s="11" cm="1">
        <f t="array" ref="I135">_xlfn.STDEV.P(_xlfn._xlws.FILTER($E$7:$E$229,$C$7:$C$229=C135))</f>
        <v>1528.3663696901995</v>
      </c>
      <c r="J135" s="11">
        <f t="shared" si="8"/>
        <v>0.292992576178426</v>
      </c>
      <c r="K135" s="11" t="str">
        <f t="shared" si="9"/>
        <v>No</v>
      </c>
      <c r="L135" s="11">
        <f t="array" ref="L135">_xlfn.STDEV.P(IF($C$7:$C$229=C135,$E$7:$E$229))</f>
        <v>1528.3663696901995</v>
      </c>
    </row>
    <row r="136" spans="3:12" x14ac:dyDescent="0.25">
      <c r="C136" s="3" t="s">
        <v>10</v>
      </c>
      <c r="D136" s="9">
        <v>45156</v>
      </c>
      <c r="E136" s="7">
        <v>3387</v>
      </c>
      <c r="F136" s="11">
        <f t="shared" ref="F136:F199" si="10">(E136-$O$4)/$O$5</f>
        <v>7.18118905895304E-2</v>
      </c>
      <c r="G136" s="11" t="str">
        <f t="shared" ref="G136:G199" si="11">IF(ABS(F136)&gt;3,"Yes","No")</f>
        <v>No</v>
      </c>
      <c r="H136" s="11">
        <f t="shared" ref="H136:H199" si="12">AVERAGEIFS($E$7:$E$229,$C$7:$C$229,C136)</f>
        <v>2962.3846153846152</v>
      </c>
      <c r="I136" s="11" cm="1">
        <f t="array" ref="I136">_xlfn.STDEV.P(_xlfn._xlws.FILTER($E$7:$E$229,$C$7:$C$229=C136))</f>
        <v>2237.9254658126006</v>
      </c>
      <c r="J136" s="11">
        <f t="shared" ref="J136:J199" si="13">(E136-H136)/I136</f>
        <v>0.18973616016349545</v>
      </c>
      <c r="K136" s="11" t="str">
        <f t="shared" ref="K136:K199" si="14">IF(ABS(J136)&gt;3,"Yes","No")</f>
        <v>No</v>
      </c>
      <c r="L136" s="11">
        <f t="array" ref="L136">_xlfn.STDEV.P(IF($C$7:$C$229=C136,$E$7:$E$229))</f>
        <v>2237.9254658126006</v>
      </c>
    </row>
    <row r="137" spans="3:12" x14ac:dyDescent="0.25">
      <c r="C137" s="3" t="s">
        <v>15</v>
      </c>
      <c r="D137" s="9">
        <v>45156</v>
      </c>
      <c r="E137" s="7">
        <v>2771</v>
      </c>
      <c r="F137" s="11">
        <f t="shared" si="10"/>
        <v>-0.1424415255631698</v>
      </c>
      <c r="G137" s="11" t="str">
        <f t="shared" si="11"/>
        <v>No</v>
      </c>
      <c r="H137" s="11">
        <f t="shared" si="12"/>
        <v>2350.6363636363635</v>
      </c>
      <c r="I137" s="11" cm="1">
        <f t="array" ref="I137">_xlfn.STDEV.P(_xlfn._xlws.FILTER($E$7:$E$229,$C$7:$C$229=C137))</f>
        <v>1376.1198595211811</v>
      </c>
      <c r="J137" s="11">
        <f t="shared" si="13"/>
        <v>0.30547022009398322</v>
      </c>
      <c r="K137" s="11" t="str">
        <f t="shared" si="14"/>
        <v>No</v>
      </c>
      <c r="L137" s="11">
        <f t="array" ref="L137">_xlfn.STDEV.P(IF($C$7:$C$229=C137,$E$7:$E$229))</f>
        <v>1376.1198595211811</v>
      </c>
    </row>
    <row r="138" spans="3:12" x14ac:dyDescent="0.25">
      <c r="C138" s="3" t="s">
        <v>13</v>
      </c>
      <c r="D138" s="9">
        <v>45156</v>
      </c>
      <c r="E138" s="7">
        <v>3770</v>
      </c>
      <c r="F138" s="11">
        <f t="shared" si="10"/>
        <v>0.20502464771044626</v>
      </c>
      <c r="G138" s="11" t="str">
        <f t="shared" si="11"/>
        <v>No</v>
      </c>
      <c r="H138" s="11">
        <f t="shared" si="12"/>
        <v>2850.909090909091</v>
      </c>
      <c r="I138" s="11" cm="1">
        <f t="array" ref="I138">_xlfn.STDEV.P(_xlfn._xlws.FILTER($E$7:$E$229,$C$7:$C$229=C138))</f>
        <v>1739.0994249660814</v>
      </c>
      <c r="J138" s="11">
        <f t="shared" si="13"/>
        <v>0.52848669598567344</v>
      </c>
      <c r="K138" s="11" t="str">
        <f t="shared" si="14"/>
        <v>No</v>
      </c>
      <c r="L138" s="11">
        <f t="array" ref="L138">_xlfn.STDEV.P(IF($C$7:$C$229=C138,$E$7:$E$229))</f>
        <v>1739.0994249660814</v>
      </c>
    </row>
    <row r="139" spans="3:12" x14ac:dyDescent="0.25">
      <c r="C139" s="3" t="s">
        <v>7</v>
      </c>
      <c r="D139" s="9">
        <v>45156</v>
      </c>
      <c r="E139" s="7">
        <v>6509</v>
      </c>
      <c r="F139" s="11">
        <f t="shared" si="10"/>
        <v>1.1576871588179882</v>
      </c>
      <c r="G139" s="11" t="str">
        <f t="shared" si="11"/>
        <v>No</v>
      </c>
      <c r="H139" s="11">
        <f t="shared" si="12"/>
        <v>3071.4444444444443</v>
      </c>
      <c r="I139" s="11" cm="1">
        <f t="array" ref="I139">_xlfn.STDEV.P(_xlfn._xlws.FILTER($E$7:$E$229,$C$7:$C$229=C139))</f>
        <v>2793.5250575059426</v>
      </c>
      <c r="J139" s="11">
        <f t="shared" si="13"/>
        <v>1.2305440204730445</v>
      </c>
      <c r="K139" s="11" t="str">
        <f t="shared" si="14"/>
        <v>No</v>
      </c>
      <c r="L139" s="11">
        <f t="array" ref="L139">_xlfn.STDEV.P(IF($C$7:$C$229=C139,$E$7:$E$229))</f>
        <v>2793.5250575059426</v>
      </c>
    </row>
    <row r="140" spans="3:12" x14ac:dyDescent="0.25">
      <c r="C140" s="3" t="s">
        <v>12</v>
      </c>
      <c r="D140" s="9">
        <v>45156</v>
      </c>
      <c r="E140" s="7">
        <v>346</v>
      </c>
      <c r="F140" s="11">
        <f t="shared" si="10"/>
        <v>-0.98589044467079634</v>
      </c>
      <c r="G140" s="11" t="str">
        <f t="shared" si="11"/>
        <v>No</v>
      </c>
      <c r="H140" s="11">
        <f t="shared" si="12"/>
        <v>1303.875</v>
      </c>
      <c r="I140" s="11" cm="1">
        <f t="array" ref="I140">_xlfn.STDEV.P(_xlfn._xlws.FILTER($E$7:$E$229,$C$7:$C$229=C140))</f>
        <v>981.3998213648706</v>
      </c>
      <c r="J140" s="11">
        <f t="shared" si="13"/>
        <v>-0.97602931969953521</v>
      </c>
      <c r="K140" s="11" t="str">
        <f t="shared" si="14"/>
        <v>No</v>
      </c>
      <c r="L140" s="11">
        <f t="array" ref="L140">_xlfn.STDEV.P(IF($C$7:$C$229=C140,$E$7:$E$229))</f>
        <v>981.3998213648706</v>
      </c>
    </row>
    <row r="141" spans="3:12" x14ac:dyDescent="0.25">
      <c r="C141" s="3" t="s">
        <v>13</v>
      </c>
      <c r="D141" s="9">
        <v>45156</v>
      </c>
      <c r="E141" s="7">
        <v>3960</v>
      </c>
      <c r="F141" s="11">
        <f t="shared" si="10"/>
        <v>0.27110930529001287</v>
      </c>
      <c r="G141" s="11" t="str">
        <f t="shared" si="11"/>
        <v>No</v>
      </c>
      <c r="H141" s="11">
        <f t="shared" si="12"/>
        <v>2850.909090909091</v>
      </c>
      <c r="I141" s="11" cm="1">
        <f t="array" ref="I141">_xlfn.STDEV.P(_xlfn._xlws.FILTER($E$7:$E$229,$C$7:$C$229=C141))</f>
        <v>1739.0994249660814</v>
      </c>
      <c r="J141" s="11">
        <f t="shared" si="13"/>
        <v>0.63773864401832014</v>
      </c>
      <c r="K141" s="11" t="str">
        <f t="shared" si="14"/>
        <v>No</v>
      </c>
      <c r="L141" s="11">
        <f t="array" ref="L141">_xlfn.STDEV.P(IF($C$7:$C$229=C141,$E$7:$E$229))</f>
        <v>1739.0994249660814</v>
      </c>
    </row>
    <row r="142" spans="3:12" x14ac:dyDescent="0.25">
      <c r="C142" s="3" t="s">
        <v>9</v>
      </c>
      <c r="D142" s="9">
        <v>45156</v>
      </c>
      <c r="E142" s="7">
        <v>2126</v>
      </c>
      <c r="F142" s="11">
        <f t="shared" si="10"/>
        <v>-0.36678154734643542</v>
      </c>
      <c r="G142" s="11" t="str">
        <f t="shared" si="11"/>
        <v>No</v>
      </c>
      <c r="H142" s="11">
        <f t="shared" si="12"/>
        <v>4605.5</v>
      </c>
      <c r="I142" s="11" cm="1">
        <f t="array" ref="I142">_xlfn.STDEV.P(_xlfn._xlws.FILTER($E$7:$E$229,$C$7:$C$229=C142))</f>
        <v>5152.1539815886708</v>
      </c>
      <c r="J142" s="11">
        <f t="shared" si="13"/>
        <v>-0.48125502631725386</v>
      </c>
      <c r="K142" s="11" t="str">
        <f t="shared" si="14"/>
        <v>No</v>
      </c>
      <c r="L142" s="11">
        <f t="array" ref="L142">_xlfn.STDEV.P(IF($C$7:$C$229=C142,$E$7:$E$229))</f>
        <v>5152.1539815886708</v>
      </c>
    </row>
    <row r="143" spans="3:12" x14ac:dyDescent="0.25">
      <c r="C143" s="3" t="s">
        <v>13</v>
      </c>
      <c r="D143" s="9">
        <v>45156</v>
      </c>
      <c r="E143" s="7">
        <v>452</v>
      </c>
      <c r="F143" s="11">
        <f t="shared" si="10"/>
        <v>-0.94902216202114342</v>
      </c>
      <c r="G143" s="11" t="str">
        <f t="shared" si="11"/>
        <v>No</v>
      </c>
      <c r="H143" s="11">
        <f t="shared" si="12"/>
        <v>2850.909090909091</v>
      </c>
      <c r="I143" s="11" cm="1">
        <f t="array" ref="I143">_xlfn.STDEV.P(_xlfn._xlws.FILTER($E$7:$E$229,$C$7:$C$229=C143))</f>
        <v>1739.0994249660814</v>
      </c>
      <c r="J143" s="11">
        <f t="shared" si="13"/>
        <v>-1.379397322816019</v>
      </c>
      <c r="K143" s="11" t="str">
        <f t="shared" si="14"/>
        <v>No</v>
      </c>
      <c r="L143" s="11">
        <f t="array" ref="L143">_xlfn.STDEV.P(IF($C$7:$C$229=C143,$E$7:$E$229))</f>
        <v>1739.0994249660814</v>
      </c>
    </row>
    <row r="144" spans="3:12" x14ac:dyDescent="0.25">
      <c r="C144" s="3" t="s">
        <v>19</v>
      </c>
      <c r="D144" s="9">
        <v>45159</v>
      </c>
      <c r="E144" s="7">
        <v>3010</v>
      </c>
      <c r="F144" s="11">
        <f t="shared" si="10"/>
        <v>-5.9313982607820205E-2</v>
      </c>
      <c r="G144" s="11" t="str">
        <f t="shared" si="11"/>
        <v>No</v>
      </c>
      <c r="H144" s="11">
        <f t="shared" si="12"/>
        <v>2891.3571428571427</v>
      </c>
      <c r="I144" s="11" cm="1">
        <f t="array" ref="I144">_xlfn.STDEV.P(_xlfn._xlws.FILTER($E$7:$E$229,$C$7:$C$229=C144))</f>
        <v>2696.5477031393534</v>
      </c>
      <c r="J144" s="11">
        <f t="shared" si="13"/>
        <v>4.3998056108828294E-2</v>
      </c>
      <c r="K144" s="11" t="str">
        <f t="shared" si="14"/>
        <v>No</v>
      </c>
      <c r="L144" s="11">
        <f t="array" ref="L144">_xlfn.STDEV.P(IF($C$7:$C$229=C144,$E$7:$E$229))</f>
        <v>2696.5477031393534</v>
      </c>
    </row>
    <row r="145" spans="3:12" x14ac:dyDescent="0.25">
      <c r="C145" s="3" t="s">
        <v>10</v>
      </c>
      <c r="D145" s="9">
        <v>45159</v>
      </c>
      <c r="E145" s="7">
        <v>3085</v>
      </c>
      <c r="F145" s="11">
        <f t="shared" si="10"/>
        <v>-3.322793356325443E-2</v>
      </c>
      <c r="G145" s="11" t="str">
        <f t="shared" si="11"/>
        <v>No</v>
      </c>
      <c r="H145" s="11">
        <f t="shared" si="12"/>
        <v>2962.3846153846152</v>
      </c>
      <c r="I145" s="11" cm="1">
        <f t="array" ref="I145">_xlfn.STDEV.P(_xlfn._xlws.FILTER($E$7:$E$229,$C$7:$C$229=C145))</f>
        <v>2237.9254658126006</v>
      </c>
      <c r="J145" s="11">
        <f t="shared" si="13"/>
        <v>5.4789753496487681E-2</v>
      </c>
      <c r="K145" s="11" t="str">
        <f t="shared" si="14"/>
        <v>No</v>
      </c>
      <c r="L145" s="11">
        <f t="array" ref="L145">_xlfn.STDEV.P(IF($C$7:$C$229=C145,$E$7:$E$229))</f>
        <v>2237.9254658126006</v>
      </c>
    </row>
    <row r="146" spans="3:12" x14ac:dyDescent="0.25">
      <c r="C146" s="3" t="s">
        <v>4</v>
      </c>
      <c r="D146" s="9">
        <v>45159</v>
      </c>
      <c r="E146" s="7">
        <v>5345</v>
      </c>
      <c r="F146" s="11">
        <f t="shared" si="10"/>
        <v>0.75283167764632741</v>
      </c>
      <c r="G146" s="11" t="str">
        <f t="shared" si="11"/>
        <v>No</v>
      </c>
      <c r="H146" s="11">
        <f t="shared" si="12"/>
        <v>3431.2307692307691</v>
      </c>
      <c r="I146" s="11" cm="1">
        <f t="array" ref="I146">_xlfn.STDEV.P(_xlfn._xlws.FILTER($E$7:$E$229,$C$7:$C$229=C146))</f>
        <v>1767.6265770734303</v>
      </c>
      <c r="J146" s="11">
        <f t="shared" si="13"/>
        <v>1.0826773344502216</v>
      </c>
      <c r="K146" s="11" t="str">
        <f t="shared" si="14"/>
        <v>No</v>
      </c>
      <c r="L146" s="11">
        <f t="array" ref="L146">_xlfn.STDEV.P(IF($C$7:$C$229=C146,$E$7:$E$229))</f>
        <v>1767.6265770734303</v>
      </c>
    </row>
    <row r="147" spans="3:12" x14ac:dyDescent="0.25">
      <c r="C147" s="3" t="s">
        <v>24</v>
      </c>
      <c r="D147" s="9">
        <v>45159</v>
      </c>
      <c r="E147" s="7">
        <v>2374</v>
      </c>
      <c r="F147" s="11">
        <f t="shared" si="10"/>
        <v>-0.28052367850573795</v>
      </c>
      <c r="G147" s="11" t="str">
        <f t="shared" si="11"/>
        <v>No</v>
      </c>
      <c r="H147" s="11">
        <f t="shared" si="12"/>
        <v>2881.4</v>
      </c>
      <c r="I147" s="11" cm="1">
        <f t="array" ref="I147">_xlfn.STDEV.P(_xlfn._xlws.FILTER($E$7:$E$229,$C$7:$C$229=C147))</f>
        <v>2458.4561497004579</v>
      </c>
      <c r="J147" s="11">
        <f t="shared" si="13"/>
        <v>-0.20638968893621409</v>
      </c>
      <c r="K147" s="11" t="str">
        <f t="shared" si="14"/>
        <v>No</v>
      </c>
      <c r="L147" s="11">
        <f t="array" ref="L147">_xlfn.STDEV.P(IF($C$7:$C$229=C147,$E$7:$E$229))</f>
        <v>2458.4561497004579</v>
      </c>
    </row>
    <row r="148" spans="3:12" x14ac:dyDescent="0.25">
      <c r="C148" s="3" t="s">
        <v>3</v>
      </c>
      <c r="D148" s="9">
        <v>45159</v>
      </c>
      <c r="E148" s="7">
        <v>497</v>
      </c>
      <c r="F148" s="11">
        <f t="shared" si="10"/>
        <v>-0.93337053259440395</v>
      </c>
      <c r="G148" s="11" t="str">
        <f t="shared" si="11"/>
        <v>No</v>
      </c>
      <c r="H148" s="11">
        <f t="shared" si="12"/>
        <v>1907.3636363636363</v>
      </c>
      <c r="I148" s="11" cm="1">
        <f t="array" ref="I148">_xlfn.STDEV.P(_xlfn._xlws.FILTER($E$7:$E$229,$C$7:$C$229=C148))</f>
        <v>1789.0284957701724</v>
      </c>
      <c r="J148" s="11">
        <f t="shared" si="13"/>
        <v>-0.78834050977845282</v>
      </c>
      <c r="K148" s="11" t="str">
        <f t="shared" si="14"/>
        <v>No</v>
      </c>
      <c r="L148" s="11">
        <f t="array" ref="L148">_xlfn.STDEV.P(IF($C$7:$C$229=C148,$E$7:$E$229))</f>
        <v>1789.0284957701724</v>
      </c>
    </row>
    <row r="149" spans="3:12" x14ac:dyDescent="0.25">
      <c r="C149" s="3" t="s">
        <v>16</v>
      </c>
      <c r="D149" s="9">
        <v>45159</v>
      </c>
      <c r="E149" s="7">
        <v>779</v>
      </c>
      <c r="F149" s="11">
        <f t="shared" si="10"/>
        <v>-0.83528698818683667</v>
      </c>
      <c r="G149" s="11" t="str">
        <f t="shared" si="11"/>
        <v>No</v>
      </c>
      <c r="H149" s="11">
        <f t="shared" si="12"/>
        <v>2130.3076923076924</v>
      </c>
      <c r="I149" s="11" cm="1">
        <f t="array" ref="I149">_xlfn.STDEV.P(_xlfn._xlws.FILTER($E$7:$E$229,$C$7:$C$229=C149))</f>
        <v>1844.0647571065304</v>
      </c>
      <c r="J149" s="11">
        <f t="shared" si="13"/>
        <v>-0.73278754832232185</v>
      </c>
      <c r="K149" s="11" t="str">
        <f t="shared" si="14"/>
        <v>No</v>
      </c>
      <c r="L149" s="11">
        <f t="array" ref="L149">_xlfn.STDEV.P(IF($C$7:$C$229=C149,$E$7:$E$229))</f>
        <v>1844.0647571065304</v>
      </c>
    </row>
    <row r="150" spans="3:12" x14ac:dyDescent="0.25">
      <c r="C150" s="3" t="s">
        <v>7</v>
      </c>
      <c r="D150" s="9">
        <v>45159</v>
      </c>
      <c r="E150" s="7">
        <v>1762</v>
      </c>
      <c r="F150" s="11">
        <f t="shared" si="10"/>
        <v>-0.49338583870939462</v>
      </c>
      <c r="G150" s="11" t="str">
        <f t="shared" si="11"/>
        <v>No</v>
      </c>
      <c r="H150" s="11">
        <f t="shared" si="12"/>
        <v>3071.4444444444443</v>
      </c>
      <c r="I150" s="11" cm="1">
        <f t="array" ref="I150">_xlfn.STDEV.P(_xlfn._xlws.FILTER($E$7:$E$229,$C$7:$C$229=C150))</f>
        <v>2793.5250575059426</v>
      </c>
      <c r="J150" s="11">
        <f t="shared" si="13"/>
        <v>-0.4687426879977642</v>
      </c>
      <c r="K150" s="11" t="str">
        <f t="shared" si="14"/>
        <v>No</v>
      </c>
      <c r="L150" s="11">
        <f t="array" ref="L150">_xlfn.STDEV.P(IF($C$7:$C$229=C150,$E$7:$E$229))</f>
        <v>2793.5250575059426</v>
      </c>
    </row>
    <row r="151" spans="3:12" x14ac:dyDescent="0.25">
      <c r="C151" s="3" t="s">
        <v>4</v>
      </c>
      <c r="D151" s="9">
        <v>45159</v>
      </c>
      <c r="E151" s="7">
        <v>6763</v>
      </c>
      <c r="F151" s="11">
        <f t="shared" si="10"/>
        <v>1.2460319115822509</v>
      </c>
      <c r="G151" s="11" t="str">
        <f t="shared" si="11"/>
        <v>No</v>
      </c>
      <c r="H151" s="11">
        <f t="shared" si="12"/>
        <v>3431.2307692307691</v>
      </c>
      <c r="I151" s="11" cm="1">
        <f t="array" ref="I151">_xlfn.STDEV.P(_xlfn._xlws.FILTER($E$7:$E$229,$C$7:$C$229=C151))</f>
        <v>1767.6265770734303</v>
      </c>
      <c r="J151" s="11">
        <f t="shared" si="13"/>
        <v>1.8848829690519093</v>
      </c>
      <c r="K151" s="11" t="str">
        <f t="shared" si="14"/>
        <v>No</v>
      </c>
      <c r="L151" s="11">
        <f t="array" ref="L151">_xlfn.STDEV.P(IF($C$7:$C$229=C151,$E$7:$E$229))</f>
        <v>1767.6265770734303</v>
      </c>
    </row>
    <row r="152" spans="3:12" x14ac:dyDescent="0.25">
      <c r="C152" s="3" t="s">
        <v>23</v>
      </c>
      <c r="D152" s="9">
        <v>45159</v>
      </c>
      <c r="E152" s="7">
        <v>495</v>
      </c>
      <c r="F152" s="11">
        <f t="shared" si="10"/>
        <v>-0.93406616056892566</v>
      </c>
      <c r="G152" s="11" t="str">
        <f t="shared" si="11"/>
        <v>No</v>
      </c>
      <c r="H152" s="11">
        <f t="shared" si="12"/>
        <v>1232</v>
      </c>
      <c r="I152" s="11" cm="1">
        <f t="array" ref="I152">_xlfn.STDEV.P(_xlfn._xlws.FILTER($E$7:$E$229,$C$7:$C$229=C152))</f>
        <v>1465.4460754323238</v>
      </c>
      <c r="J152" s="11">
        <f t="shared" si="13"/>
        <v>-0.5029185395188126</v>
      </c>
      <c r="K152" s="11" t="str">
        <f t="shared" si="14"/>
        <v>No</v>
      </c>
      <c r="L152" s="11">
        <f t="array" ref="L152">_xlfn.STDEV.P(IF($C$7:$C$229=C152,$E$7:$E$229))</f>
        <v>1465.4460754323238</v>
      </c>
    </row>
    <row r="153" spans="3:12" x14ac:dyDescent="0.25">
      <c r="C153" s="3" t="s">
        <v>19</v>
      </c>
      <c r="D153" s="9">
        <v>45159</v>
      </c>
      <c r="E153" s="7">
        <v>978</v>
      </c>
      <c r="F153" s="11">
        <f t="shared" si="10"/>
        <v>-0.76607200472192216</v>
      </c>
      <c r="G153" s="11" t="str">
        <f t="shared" si="11"/>
        <v>No</v>
      </c>
      <c r="H153" s="11">
        <f t="shared" si="12"/>
        <v>2891.3571428571427</v>
      </c>
      <c r="I153" s="11" cm="1">
        <f t="array" ref="I153">_xlfn.STDEV.P(_xlfn._xlws.FILTER($E$7:$E$229,$C$7:$C$229=C153))</f>
        <v>2696.5477031393534</v>
      </c>
      <c r="J153" s="11">
        <f t="shared" si="13"/>
        <v>-0.70955805477855594</v>
      </c>
      <c r="K153" s="11" t="str">
        <f t="shared" si="14"/>
        <v>No</v>
      </c>
      <c r="L153" s="11">
        <f t="array" ref="L153">_xlfn.STDEV.P(IF($C$7:$C$229=C153,$E$7:$E$229))</f>
        <v>2696.5477031393534</v>
      </c>
    </row>
    <row r="154" spans="3:12" x14ac:dyDescent="0.25">
      <c r="C154" s="3" t="s">
        <v>19</v>
      </c>
      <c r="D154" s="9">
        <v>45159</v>
      </c>
      <c r="E154" s="7">
        <v>2627</v>
      </c>
      <c r="F154" s="11">
        <f t="shared" si="10"/>
        <v>-0.19252673972873607</v>
      </c>
      <c r="G154" s="11" t="str">
        <f t="shared" si="11"/>
        <v>No</v>
      </c>
      <c r="H154" s="11">
        <f t="shared" si="12"/>
        <v>2891.3571428571427</v>
      </c>
      <c r="I154" s="11" cm="1">
        <f t="array" ref="I154">_xlfn.STDEV.P(_xlfn._xlws.FILTER($E$7:$E$229,$C$7:$C$229=C154))</f>
        <v>2696.5477031393534</v>
      </c>
      <c r="J154" s="11">
        <f t="shared" si="13"/>
        <v>-9.8035403768075333E-2</v>
      </c>
      <c r="K154" s="11" t="str">
        <f t="shared" si="14"/>
        <v>No</v>
      </c>
      <c r="L154" s="11">
        <f t="array" ref="L154">_xlfn.STDEV.P(IF($C$7:$C$229=C154,$E$7:$E$229))</f>
        <v>2696.5477031393534</v>
      </c>
    </row>
    <row r="155" spans="3:12" x14ac:dyDescent="0.25">
      <c r="C155" s="3" t="s">
        <v>4</v>
      </c>
      <c r="D155" s="9">
        <v>45159</v>
      </c>
      <c r="E155" s="7">
        <v>1824</v>
      </c>
      <c r="F155" s="11">
        <f t="shared" si="10"/>
        <v>-0.47182137149922027</v>
      </c>
      <c r="G155" s="11" t="str">
        <f t="shared" si="11"/>
        <v>No</v>
      </c>
      <c r="H155" s="11">
        <f t="shared" si="12"/>
        <v>3431.2307692307691</v>
      </c>
      <c r="I155" s="11" cm="1">
        <f t="array" ref="I155">_xlfn.STDEV.P(_xlfn._xlws.FILTER($E$7:$E$229,$C$7:$C$229=C155))</f>
        <v>1767.6265770734303</v>
      </c>
      <c r="J155" s="11">
        <f t="shared" si="13"/>
        <v>-0.90925922368274159</v>
      </c>
      <c r="K155" s="11" t="str">
        <f t="shared" si="14"/>
        <v>No</v>
      </c>
      <c r="L155" s="11">
        <f t="array" ref="L155">_xlfn.STDEV.P(IF($C$7:$C$229=C155,$E$7:$E$229))</f>
        <v>1767.6265770734303</v>
      </c>
    </row>
    <row r="156" spans="3:12" x14ac:dyDescent="0.25">
      <c r="C156" s="3" t="s">
        <v>19</v>
      </c>
      <c r="D156" s="9">
        <v>45159</v>
      </c>
      <c r="E156" s="7">
        <v>1566</v>
      </c>
      <c r="F156" s="11">
        <f t="shared" si="10"/>
        <v>-0.56155738021252655</v>
      </c>
      <c r="G156" s="11" t="str">
        <f t="shared" si="11"/>
        <v>No</v>
      </c>
      <c r="H156" s="11">
        <f t="shared" si="12"/>
        <v>2891.3571428571427</v>
      </c>
      <c r="I156" s="11" cm="1">
        <f t="array" ref="I156">_xlfn.STDEV.P(_xlfn._xlws.FILTER($E$7:$E$229,$C$7:$C$229=C156))</f>
        <v>2696.5477031393534</v>
      </c>
      <c r="J156" s="11">
        <f t="shared" si="13"/>
        <v>-0.49150146363594677</v>
      </c>
      <c r="K156" s="11" t="str">
        <f t="shared" si="14"/>
        <v>No</v>
      </c>
      <c r="L156" s="11">
        <f t="array" ref="L156">_xlfn.STDEV.P(IF($C$7:$C$229=C156,$E$7:$E$229))</f>
        <v>2696.5477031393534</v>
      </c>
    </row>
    <row r="157" spans="3:12" x14ac:dyDescent="0.25">
      <c r="C157" s="3" t="s">
        <v>17</v>
      </c>
      <c r="D157" s="9">
        <v>45159</v>
      </c>
      <c r="E157" s="7">
        <v>2297</v>
      </c>
      <c r="F157" s="11">
        <f t="shared" si="10"/>
        <v>-0.30730535552482546</v>
      </c>
      <c r="G157" s="11" t="str">
        <f t="shared" si="11"/>
        <v>No</v>
      </c>
      <c r="H157" s="11">
        <f t="shared" si="12"/>
        <v>2993.2222222222222</v>
      </c>
      <c r="I157" s="11" cm="1">
        <f t="array" ref="I157">_xlfn.STDEV.P(_xlfn._xlws.FILTER($E$7:$E$229,$C$7:$C$229=C157))</f>
        <v>2152.7507353140218</v>
      </c>
      <c r="J157" s="11">
        <f t="shared" si="13"/>
        <v>-0.32341051418601152</v>
      </c>
      <c r="K157" s="11" t="str">
        <f t="shared" si="14"/>
        <v>No</v>
      </c>
      <c r="L157" s="11">
        <f t="array" ref="L157">_xlfn.STDEV.P(IF($C$7:$C$229=C157,$E$7:$E$229))</f>
        <v>2152.7507353140218</v>
      </c>
    </row>
    <row r="158" spans="3:12" x14ac:dyDescent="0.25">
      <c r="C158" s="3" t="s">
        <v>18</v>
      </c>
      <c r="D158" s="9">
        <v>45159</v>
      </c>
      <c r="E158" s="7">
        <v>1318</v>
      </c>
      <c r="F158" s="11">
        <f t="shared" si="10"/>
        <v>-0.64781524905322396</v>
      </c>
      <c r="G158" s="11" t="str">
        <f t="shared" si="11"/>
        <v>No</v>
      </c>
      <c r="H158" s="11">
        <f t="shared" si="12"/>
        <v>4742.1111111111113</v>
      </c>
      <c r="I158" s="11" cm="1">
        <f t="array" ref="I158">_xlfn.STDEV.P(_xlfn._xlws.FILTER($E$7:$E$229,$C$7:$C$229=C158))</f>
        <v>3593.1069330175474</v>
      </c>
      <c r="J158" s="11">
        <f t="shared" si="13"/>
        <v>-0.95296665947970804</v>
      </c>
      <c r="K158" s="11" t="str">
        <f t="shared" si="14"/>
        <v>No</v>
      </c>
      <c r="L158" s="11">
        <f t="array" ref="L158">_xlfn.STDEV.P(IF($C$7:$C$229=C158,$E$7:$E$229))</f>
        <v>3593.1069330175474</v>
      </c>
    </row>
    <row r="159" spans="3:12" x14ac:dyDescent="0.25">
      <c r="C159" s="3" t="s">
        <v>10</v>
      </c>
      <c r="D159" s="9">
        <v>45159</v>
      </c>
      <c r="E159" s="7">
        <v>2996</v>
      </c>
      <c r="F159" s="11">
        <f t="shared" si="10"/>
        <v>-6.4183378429472485E-2</v>
      </c>
      <c r="G159" s="11" t="str">
        <f t="shared" si="11"/>
        <v>No</v>
      </c>
      <c r="H159" s="11">
        <f t="shared" si="12"/>
        <v>2962.3846153846152</v>
      </c>
      <c r="I159" s="11" cm="1">
        <f t="array" ref="I159">_xlfn.STDEV.P(_xlfn._xlws.FILTER($E$7:$E$229,$C$7:$C$229=C159))</f>
        <v>2237.9254658126006</v>
      </c>
      <c r="J159" s="11">
        <f t="shared" si="13"/>
        <v>1.5020779346276781E-2</v>
      </c>
      <c r="K159" s="11" t="str">
        <f t="shared" si="14"/>
        <v>No</v>
      </c>
      <c r="L159" s="11">
        <f t="array" ref="L159">_xlfn.STDEV.P(IF($C$7:$C$229=C159,$E$7:$E$229))</f>
        <v>2237.9254658126006</v>
      </c>
    </row>
    <row r="160" spans="3:12" x14ac:dyDescent="0.25">
      <c r="C160" s="3" t="s">
        <v>16</v>
      </c>
      <c r="D160" s="9">
        <v>45159</v>
      </c>
      <c r="E160" s="7">
        <v>616</v>
      </c>
      <c r="F160" s="11">
        <f t="shared" si="10"/>
        <v>-0.89198066811035959</v>
      </c>
      <c r="G160" s="11" t="str">
        <f t="shared" si="11"/>
        <v>No</v>
      </c>
      <c r="H160" s="11">
        <f t="shared" si="12"/>
        <v>2130.3076923076924</v>
      </c>
      <c r="I160" s="11" cm="1">
        <f t="array" ref="I160">_xlfn.STDEV.P(_xlfn._xlws.FILTER($E$7:$E$229,$C$7:$C$229=C160))</f>
        <v>1844.0647571065304</v>
      </c>
      <c r="J160" s="11">
        <f t="shared" si="13"/>
        <v>-0.82117923813247728</v>
      </c>
      <c r="K160" s="11" t="str">
        <f t="shared" si="14"/>
        <v>No</v>
      </c>
      <c r="L160" s="11">
        <f t="array" ref="L160">_xlfn.STDEV.P(IF($C$7:$C$229=C160,$E$7:$E$229))</f>
        <v>1844.0647571065304</v>
      </c>
    </row>
    <row r="161" spans="3:12" x14ac:dyDescent="0.25">
      <c r="C161" s="3" t="s">
        <v>11</v>
      </c>
      <c r="D161" s="9">
        <v>45159</v>
      </c>
      <c r="E161" s="7">
        <v>4081</v>
      </c>
      <c r="F161" s="11">
        <f t="shared" si="10"/>
        <v>0.313194797748579</v>
      </c>
      <c r="G161" s="11" t="str">
        <f t="shared" si="11"/>
        <v>No</v>
      </c>
      <c r="H161" s="11">
        <f t="shared" si="12"/>
        <v>3233.2</v>
      </c>
      <c r="I161" s="11" cm="1">
        <f t="array" ref="I161">_xlfn.STDEV.P(_xlfn._xlws.FILTER($E$7:$E$229,$C$7:$C$229=C161))</f>
        <v>1528.3663696901995</v>
      </c>
      <c r="J161" s="11">
        <f t="shared" si="13"/>
        <v>0.55470992872726554</v>
      </c>
      <c r="K161" s="11" t="str">
        <f t="shared" si="14"/>
        <v>No</v>
      </c>
      <c r="L161" s="11">
        <f t="array" ref="L161">_xlfn.STDEV.P(IF($C$7:$C$229=C161,$E$7:$E$229))</f>
        <v>1528.3663696901995</v>
      </c>
    </row>
    <row r="162" spans="3:12" x14ac:dyDescent="0.25">
      <c r="C162" s="3" t="s">
        <v>9</v>
      </c>
      <c r="D162" s="9">
        <v>45160</v>
      </c>
      <c r="E162" s="7">
        <v>3167</v>
      </c>
      <c r="F162" s="11">
        <f t="shared" si="10"/>
        <v>-4.7071866078625246E-3</v>
      </c>
      <c r="G162" s="11" t="str">
        <f t="shared" si="11"/>
        <v>No</v>
      </c>
      <c r="H162" s="11">
        <f t="shared" si="12"/>
        <v>4605.5</v>
      </c>
      <c r="I162" s="11" cm="1">
        <f t="array" ref="I162">_xlfn.STDEV.P(_xlfn._xlws.FILTER($E$7:$E$229,$C$7:$C$229=C162))</f>
        <v>5152.1539815886708</v>
      </c>
      <c r="J162" s="11">
        <f t="shared" si="13"/>
        <v>-0.27920361175937475</v>
      </c>
      <c r="K162" s="11" t="str">
        <f t="shared" si="14"/>
        <v>No</v>
      </c>
      <c r="L162" s="11">
        <f t="array" ref="L162">_xlfn.STDEV.P(IF($C$7:$C$229=C162,$E$7:$E$229))</f>
        <v>5152.1539815886708</v>
      </c>
    </row>
    <row r="163" spans="3:12" x14ac:dyDescent="0.25">
      <c r="C163" s="3" t="s">
        <v>20</v>
      </c>
      <c r="D163" s="9">
        <v>45160</v>
      </c>
      <c r="E163" s="7">
        <v>9273</v>
      </c>
      <c r="F163" s="11">
        <f t="shared" si="10"/>
        <v>2.1190450196070523</v>
      </c>
      <c r="G163" s="11" t="str">
        <f t="shared" si="11"/>
        <v>No</v>
      </c>
      <c r="H163" s="11">
        <f t="shared" si="12"/>
        <v>7666.25</v>
      </c>
      <c r="I163" s="11" cm="1">
        <f t="array" ref="I163">_xlfn.STDEV.P(_xlfn._xlws.FILTER($E$7:$E$229,$C$7:$C$229=C163))</f>
        <v>3189.3846095289291</v>
      </c>
      <c r="J163" s="11">
        <f t="shared" si="13"/>
        <v>0.5037805710855664</v>
      </c>
      <c r="K163" s="11" t="str">
        <f t="shared" si="14"/>
        <v>No</v>
      </c>
      <c r="L163" s="11">
        <f t="array" ref="L163">_xlfn.STDEV.P(IF($C$7:$C$229=C163,$E$7:$E$229))</f>
        <v>3189.3846095289291</v>
      </c>
    </row>
    <row r="164" spans="3:12" x14ac:dyDescent="0.25">
      <c r="C164" s="3" t="s">
        <v>21</v>
      </c>
      <c r="D164" s="9">
        <v>45160</v>
      </c>
      <c r="E164" s="7">
        <v>3485</v>
      </c>
      <c r="F164" s="11">
        <f t="shared" si="10"/>
        <v>0.10589766134109634</v>
      </c>
      <c r="G164" s="11" t="str">
        <f t="shared" si="11"/>
        <v>No</v>
      </c>
      <c r="H164" s="11">
        <f t="shared" si="12"/>
        <v>5830</v>
      </c>
      <c r="I164" s="11" cm="1">
        <f t="array" ref="I164">_xlfn.STDEV.P(_xlfn._xlws.FILTER($E$7:$E$229,$C$7:$C$229=C164))</f>
        <v>4977.4810350764228</v>
      </c>
      <c r="J164" s="11">
        <f t="shared" si="13"/>
        <v>-0.47112183521639384</v>
      </c>
      <c r="K164" s="11" t="str">
        <f t="shared" si="14"/>
        <v>No</v>
      </c>
      <c r="L164" s="11">
        <f t="array" ref="L164">_xlfn.STDEV.P(IF($C$7:$C$229=C164,$E$7:$E$229))</f>
        <v>4977.4810350764228</v>
      </c>
    </row>
    <row r="165" spans="3:12" x14ac:dyDescent="0.25">
      <c r="C165" s="3" t="s">
        <v>19</v>
      </c>
      <c r="D165" s="9">
        <v>45160</v>
      </c>
      <c r="E165" s="7">
        <v>3483</v>
      </c>
      <c r="F165" s="11">
        <f t="shared" si="10"/>
        <v>0.10520203336657459</v>
      </c>
      <c r="G165" s="11" t="str">
        <f t="shared" si="11"/>
        <v>No</v>
      </c>
      <c r="H165" s="11">
        <f t="shared" si="12"/>
        <v>2891.3571428571427</v>
      </c>
      <c r="I165" s="11" cm="1">
        <f t="array" ref="I165">_xlfn.STDEV.P(_xlfn._xlws.FILTER($E$7:$E$229,$C$7:$C$229=C165))</f>
        <v>2696.5477031393534</v>
      </c>
      <c r="J165" s="11">
        <f t="shared" si="13"/>
        <v>0.21940752483409048</v>
      </c>
      <c r="K165" s="11" t="str">
        <f t="shared" si="14"/>
        <v>No</v>
      </c>
      <c r="L165" s="11">
        <f t="array" ref="L165">_xlfn.STDEV.P(IF($C$7:$C$229=C165,$E$7:$E$229))</f>
        <v>2696.5477031393534</v>
      </c>
    </row>
    <row r="166" spans="3:12" x14ac:dyDescent="0.25">
      <c r="C166" s="3" t="s">
        <v>23</v>
      </c>
      <c r="D166" s="9">
        <v>45160</v>
      </c>
      <c r="E166" s="7">
        <v>77</v>
      </c>
      <c r="F166" s="11">
        <f t="shared" si="10"/>
        <v>-1.0794524072439722</v>
      </c>
      <c r="G166" s="11" t="str">
        <f t="shared" si="11"/>
        <v>No</v>
      </c>
      <c r="H166" s="11">
        <f t="shared" si="12"/>
        <v>1232</v>
      </c>
      <c r="I166" s="11" cm="1">
        <f t="array" ref="I166">_xlfn.STDEV.P(_xlfn._xlws.FILTER($E$7:$E$229,$C$7:$C$229=C166))</f>
        <v>1465.4460754323238</v>
      </c>
      <c r="J166" s="11">
        <f t="shared" si="13"/>
        <v>-0.78815592014142277</v>
      </c>
      <c r="K166" s="11" t="str">
        <f t="shared" si="14"/>
        <v>No</v>
      </c>
      <c r="L166" s="11">
        <f t="array" ref="L166">_xlfn.STDEV.P(IF($C$7:$C$229=C166,$E$7:$E$229))</f>
        <v>1465.4460754323238</v>
      </c>
    </row>
    <row r="167" spans="3:12" x14ac:dyDescent="0.25">
      <c r="C167" s="3" t="s">
        <v>19</v>
      </c>
      <c r="D167" s="9">
        <v>45161</v>
      </c>
      <c r="E167" s="7">
        <v>10992</v>
      </c>
      <c r="F167" s="11">
        <f t="shared" si="10"/>
        <v>2.7169372637084996</v>
      </c>
      <c r="G167" s="11" t="str">
        <f t="shared" si="11"/>
        <v>No</v>
      </c>
      <c r="H167" s="11">
        <f t="shared" si="12"/>
        <v>2891.3571428571427</v>
      </c>
      <c r="I167" s="11" cm="1">
        <f t="array" ref="I167">_xlfn.STDEV.P(_xlfn._xlws.FILTER($E$7:$E$229,$C$7:$C$229=C167))</f>
        <v>2696.5477031393534</v>
      </c>
      <c r="J167" s="11">
        <f t="shared" si="13"/>
        <v>3.0040791964154723</v>
      </c>
      <c r="K167" s="11" t="str">
        <f t="shared" si="14"/>
        <v>Yes</v>
      </c>
      <c r="L167" s="11">
        <f t="array" ref="L167">_xlfn.STDEV.P(IF($C$7:$C$229=C167,$E$7:$E$229))</f>
        <v>2696.5477031393534</v>
      </c>
    </row>
    <row r="168" spans="3:12" x14ac:dyDescent="0.25">
      <c r="C168" s="3" t="s">
        <v>9</v>
      </c>
      <c r="D168" s="9">
        <v>45161</v>
      </c>
      <c r="E168" s="7">
        <v>1053</v>
      </c>
      <c r="F168" s="11">
        <f t="shared" si="10"/>
        <v>-0.73998595567735637</v>
      </c>
      <c r="G168" s="11" t="str">
        <f t="shared" si="11"/>
        <v>No</v>
      </c>
      <c r="H168" s="11">
        <f t="shared" si="12"/>
        <v>4605.5</v>
      </c>
      <c r="I168" s="11" cm="1">
        <f t="array" ref="I168">_xlfn.STDEV.P(_xlfn._xlws.FILTER($E$7:$E$229,$C$7:$C$229=C168))</f>
        <v>5152.1539815886708</v>
      </c>
      <c r="J168" s="11">
        <f t="shared" si="13"/>
        <v>-0.68951743536682575</v>
      </c>
      <c r="K168" s="11" t="str">
        <f t="shared" si="14"/>
        <v>No</v>
      </c>
      <c r="L168" s="11">
        <f t="array" ref="L168">_xlfn.STDEV.P(IF($C$7:$C$229=C168,$E$7:$E$229))</f>
        <v>5152.1539815886708</v>
      </c>
    </row>
    <row r="169" spans="3:12" x14ac:dyDescent="0.25">
      <c r="C169" s="3" t="s">
        <v>7</v>
      </c>
      <c r="D169" s="9">
        <v>45161</v>
      </c>
      <c r="E169" s="7">
        <v>2115</v>
      </c>
      <c r="F169" s="11">
        <f t="shared" si="10"/>
        <v>-0.37060750120630509</v>
      </c>
      <c r="G169" s="11" t="str">
        <f t="shared" si="11"/>
        <v>No</v>
      </c>
      <c r="H169" s="11">
        <f t="shared" si="12"/>
        <v>3071.4444444444443</v>
      </c>
      <c r="I169" s="11" cm="1">
        <f t="array" ref="I169">_xlfn.STDEV.P(_xlfn._xlws.FILTER($E$7:$E$229,$C$7:$C$229=C169))</f>
        <v>2793.5250575059426</v>
      </c>
      <c r="J169" s="11">
        <f t="shared" si="13"/>
        <v>-0.34237904609968212</v>
      </c>
      <c r="K169" s="11" t="str">
        <f t="shared" si="14"/>
        <v>No</v>
      </c>
      <c r="L169" s="11">
        <f t="array" ref="L169">_xlfn.STDEV.P(IF($C$7:$C$229=C169,$E$7:$E$229))</f>
        <v>2793.5250575059426</v>
      </c>
    </row>
    <row r="170" spans="3:12" x14ac:dyDescent="0.25">
      <c r="C170" s="3" t="s">
        <v>5</v>
      </c>
      <c r="D170" s="9">
        <v>45161</v>
      </c>
      <c r="E170" s="7">
        <v>3598</v>
      </c>
      <c r="F170" s="11">
        <f t="shared" si="10"/>
        <v>0.14520064190157544</v>
      </c>
      <c r="G170" s="11" t="str">
        <f t="shared" si="11"/>
        <v>No</v>
      </c>
      <c r="H170" s="11">
        <f t="shared" si="12"/>
        <v>2272.2666666666669</v>
      </c>
      <c r="I170" s="11" cm="1">
        <f t="array" ref="I170">_xlfn.STDEV.P(_xlfn._xlws.FILTER($E$7:$E$229,$C$7:$C$229=C170))</f>
        <v>1107.5620353832205</v>
      </c>
      <c r="J170" s="11">
        <f t="shared" si="13"/>
        <v>1.1969833661503435</v>
      </c>
      <c r="K170" s="11" t="str">
        <f t="shared" si="14"/>
        <v>No</v>
      </c>
      <c r="L170" s="11">
        <f t="array" ref="L170">_xlfn.STDEV.P(IF($C$7:$C$229=C170,$E$7:$E$229))</f>
        <v>1107.5620353832205</v>
      </c>
    </row>
    <row r="171" spans="3:12" x14ac:dyDescent="0.25">
      <c r="C171" s="3" t="s">
        <v>16</v>
      </c>
      <c r="D171" s="9">
        <v>45161</v>
      </c>
      <c r="E171" s="7">
        <v>448</v>
      </c>
      <c r="F171" s="11">
        <f t="shared" si="10"/>
        <v>-0.95041341797018697</v>
      </c>
      <c r="G171" s="11" t="str">
        <f t="shared" si="11"/>
        <v>No</v>
      </c>
      <c r="H171" s="11">
        <f t="shared" si="12"/>
        <v>2130.3076923076924</v>
      </c>
      <c r="I171" s="11" cm="1">
        <f t="array" ref="I171">_xlfn.STDEV.P(_xlfn._xlws.FILTER($E$7:$E$229,$C$7:$C$229=C171))</f>
        <v>1844.0647571065304</v>
      </c>
      <c r="J171" s="11">
        <f t="shared" si="13"/>
        <v>-0.91228232947055155</v>
      </c>
      <c r="K171" s="11" t="str">
        <f t="shared" si="14"/>
        <v>No</v>
      </c>
      <c r="L171" s="11">
        <f t="array" ref="L171">_xlfn.STDEV.P(IF($C$7:$C$229=C171,$E$7:$E$229))</f>
        <v>1844.0647571065304</v>
      </c>
    </row>
    <row r="172" spans="3:12" x14ac:dyDescent="0.25">
      <c r="C172" s="3" t="s">
        <v>24</v>
      </c>
      <c r="D172" s="9">
        <v>45161</v>
      </c>
      <c r="E172" s="7">
        <v>337</v>
      </c>
      <c r="F172" s="11">
        <f t="shared" si="10"/>
        <v>-0.98902077055614424</v>
      </c>
      <c r="G172" s="11" t="str">
        <f t="shared" si="11"/>
        <v>No</v>
      </c>
      <c r="H172" s="11">
        <f t="shared" si="12"/>
        <v>2881.4</v>
      </c>
      <c r="I172" s="11" cm="1">
        <f t="array" ref="I172">_xlfn.STDEV.P(_xlfn._xlws.FILTER($E$7:$E$229,$C$7:$C$229=C172))</f>
        <v>2458.4561497004579</v>
      </c>
      <c r="J172" s="11">
        <f t="shared" si="13"/>
        <v>-1.0349584637944482</v>
      </c>
      <c r="K172" s="11" t="str">
        <f t="shared" si="14"/>
        <v>No</v>
      </c>
      <c r="L172" s="11">
        <f t="array" ref="L172">_xlfn.STDEV.P(IF($C$7:$C$229=C172,$E$7:$E$229))</f>
        <v>2458.4561497004579</v>
      </c>
    </row>
    <row r="173" spans="3:12" x14ac:dyDescent="0.25">
      <c r="C173" s="3" t="s">
        <v>10</v>
      </c>
      <c r="D173" s="9">
        <v>45161</v>
      </c>
      <c r="E173" s="7">
        <v>2726</v>
      </c>
      <c r="F173" s="11">
        <f t="shared" si="10"/>
        <v>-0.15809315498990925</v>
      </c>
      <c r="G173" s="11" t="str">
        <f t="shared" si="11"/>
        <v>No</v>
      </c>
      <c r="H173" s="11">
        <f t="shared" si="12"/>
        <v>2962.3846153846152</v>
      </c>
      <c r="I173" s="11" cm="1">
        <f t="array" ref="I173">_xlfn.STDEV.P(_xlfn._xlws.FILTER($E$7:$E$229,$C$7:$C$229=C173))</f>
        <v>2237.9254658126006</v>
      </c>
      <c r="J173" s="11">
        <f t="shared" si="13"/>
        <v>-0.10562667032290235</v>
      </c>
      <c r="K173" s="11" t="str">
        <f t="shared" si="14"/>
        <v>No</v>
      </c>
      <c r="L173" s="11">
        <f t="array" ref="L173">_xlfn.STDEV.P(IF($C$7:$C$229=C173,$E$7:$E$229))</f>
        <v>2237.9254658126006</v>
      </c>
    </row>
    <row r="174" spans="3:12" x14ac:dyDescent="0.25">
      <c r="C174" s="3" t="s">
        <v>18</v>
      </c>
      <c r="D174" s="9">
        <v>45161</v>
      </c>
      <c r="E174" s="7">
        <v>3211</v>
      </c>
      <c r="F174" s="11">
        <f t="shared" si="10"/>
        <v>1.0596628831616061E-2</v>
      </c>
      <c r="G174" s="11" t="str">
        <f t="shared" si="11"/>
        <v>No</v>
      </c>
      <c r="H174" s="11">
        <f t="shared" si="12"/>
        <v>4742.1111111111113</v>
      </c>
      <c r="I174" s="11" cm="1">
        <f t="array" ref="I174">_xlfn.STDEV.P(_xlfn._xlws.FILTER($E$7:$E$229,$C$7:$C$229=C174))</f>
        <v>3593.1069330175474</v>
      </c>
      <c r="J174" s="11">
        <f t="shared" si="13"/>
        <v>-0.42612456006848098</v>
      </c>
      <c r="K174" s="11" t="str">
        <f t="shared" si="14"/>
        <v>No</v>
      </c>
      <c r="L174" s="11">
        <f t="array" ref="L174">_xlfn.STDEV.P(IF($C$7:$C$229=C174,$E$7:$E$229))</f>
        <v>3593.1069330175474</v>
      </c>
    </row>
    <row r="175" spans="3:12" x14ac:dyDescent="0.25">
      <c r="C175" s="3" t="s">
        <v>20</v>
      </c>
      <c r="D175" s="9">
        <v>45161</v>
      </c>
      <c r="E175" s="7">
        <v>8237</v>
      </c>
      <c r="F175" s="11">
        <f t="shared" si="10"/>
        <v>1.7587097288047837</v>
      </c>
      <c r="G175" s="11" t="str">
        <f t="shared" si="11"/>
        <v>No</v>
      </c>
      <c r="H175" s="11">
        <f t="shared" si="12"/>
        <v>7666.25</v>
      </c>
      <c r="I175" s="11" cm="1">
        <f t="array" ref="I175">_xlfn.STDEV.P(_xlfn._xlws.FILTER($E$7:$E$229,$C$7:$C$229=C175))</f>
        <v>3189.3846095289291</v>
      </c>
      <c r="J175" s="11">
        <f t="shared" si="13"/>
        <v>0.17895301754914392</v>
      </c>
      <c r="K175" s="11" t="str">
        <f t="shared" si="14"/>
        <v>No</v>
      </c>
      <c r="L175" s="11">
        <f t="array" ref="L175">_xlfn.STDEV.P(IF($C$7:$C$229=C175,$E$7:$E$229))</f>
        <v>3189.3846095289291</v>
      </c>
    </row>
    <row r="176" spans="3:12" x14ac:dyDescent="0.25">
      <c r="C176" s="3" t="s">
        <v>21</v>
      </c>
      <c r="D176" s="9">
        <v>45161</v>
      </c>
      <c r="E176" s="7">
        <v>3476</v>
      </c>
      <c r="F176" s="11">
        <f t="shared" si="10"/>
        <v>0.10276733545574845</v>
      </c>
      <c r="G176" s="11" t="str">
        <f t="shared" si="11"/>
        <v>No</v>
      </c>
      <c r="H176" s="11">
        <f t="shared" si="12"/>
        <v>5830</v>
      </c>
      <c r="I176" s="11" cm="1">
        <f t="array" ref="I176">_xlfn.STDEV.P(_xlfn._xlws.FILTER($E$7:$E$229,$C$7:$C$229=C176))</f>
        <v>4977.4810350764228</v>
      </c>
      <c r="J176" s="11">
        <f t="shared" si="13"/>
        <v>-0.47292997872042264</v>
      </c>
      <c r="K176" s="11" t="str">
        <f t="shared" si="14"/>
        <v>No</v>
      </c>
      <c r="L176" s="11">
        <f t="array" ref="L176">_xlfn.STDEV.P(IF($C$7:$C$229=C176,$E$7:$E$229))</f>
        <v>4977.4810350764228</v>
      </c>
    </row>
    <row r="177" spans="3:12" x14ac:dyDescent="0.25">
      <c r="C177" s="3" t="s">
        <v>4</v>
      </c>
      <c r="D177" s="9">
        <v>45162</v>
      </c>
      <c r="E177" s="7">
        <v>3960</v>
      </c>
      <c r="F177" s="11">
        <f t="shared" si="10"/>
        <v>0.27110930529001287</v>
      </c>
      <c r="G177" s="11" t="str">
        <f t="shared" si="11"/>
        <v>No</v>
      </c>
      <c r="H177" s="11">
        <f t="shared" si="12"/>
        <v>3431.2307692307691</v>
      </c>
      <c r="I177" s="11" cm="1">
        <f t="array" ref="I177">_xlfn.STDEV.P(_xlfn._xlws.FILTER($E$7:$E$229,$C$7:$C$229=C177))</f>
        <v>1767.6265770734303</v>
      </c>
      <c r="J177" s="11">
        <f t="shared" si="13"/>
        <v>0.29914080135901067</v>
      </c>
      <c r="K177" s="11" t="str">
        <f t="shared" si="14"/>
        <v>No</v>
      </c>
      <c r="L177" s="11">
        <f t="array" ref="L177">_xlfn.STDEV.P(IF($C$7:$C$229=C177,$E$7:$E$229))</f>
        <v>1767.6265770734303</v>
      </c>
    </row>
    <row r="178" spans="3:12" x14ac:dyDescent="0.25">
      <c r="C178" s="3" t="s">
        <v>7</v>
      </c>
      <c r="D178" s="9">
        <v>45162</v>
      </c>
      <c r="E178" s="7">
        <v>424</v>
      </c>
      <c r="F178" s="11">
        <f t="shared" si="10"/>
        <v>-0.95876095366444791</v>
      </c>
      <c r="G178" s="11" t="str">
        <f t="shared" si="11"/>
        <v>No</v>
      </c>
      <c r="H178" s="11">
        <f t="shared" si="12"/>
        <v>3071.4444444444443</v>
      </c>
      <c r="I178" s="11" cm="1">
        <f t="array" ref="I178">_xlfn.STDEV.P(_xlfn._xlws.FILTER($E$7:$E$229,$C$7:$C$229=C178))</f>
        <v>2793.5250575059426</v>
      </c>
      <c r="J178" s="11">
        <f t="shared" si="13"/>
        <v>-0.94770742697689669</v>
      </c>
      <c r="K178" s="11" t="str">
        <f t="shared" si="14"/>
        <v>No</v>
      </c>
      <c r="L178" s="11">
        <f t="array" ref="L178">_xlfn.STDEV.P(IF($C$7:$C$229=C178,$E$7:$E$229))</f>
        <v>2793.5250575059426</v>
      </c>
    </row>
    <row r="179" spans="3:12" x14ac:dyDescent="0.25">
      <c r="C179" s="3" t="s">
        <v>11</v>
      </c>
      <c r="D179" s="9">
        <v>45162</v>
      </c>
      <c r="E179" s="7">
        <v>2650</v>
      </c>
      <c r="F179" s="11">
        <f t="shared" si="10"/>
        <v>-0.18452701802173591</v>
      </c>
      <c r="G179" s="11" t="str">
        <f t="shared" si="11"/>
        <v>No</v>
      </c>
      <c r="H179" s="11">
        <f t="shared" si="12"/>
        <v>3233.2</v>
      </c>
      <c r="I179" s="11" cm="1">
        <f t="array" ref="I179">_xlfn.STDEV.P(_xlfn._xlws.FILTER($E$7:$E$229,$C$7:$C$229=C179))</f>
        <v>1528.3663696901995</v>
      </c>
      <c r="J179" s="11">
        <f t="shared" si="13"/>
        <v>-0.38158390001620796</v>
      </c>
      <c r="K179" s="11" t="str">
        <f t="shared" si="14"/>
        <v>No</v>
      </c>
      <c r="L179" s="11">
        <f t="array" ref="L179">_xlfn.STDEV.P(IF($C$7:$C$229=C179,$E$7:$E$229))</f>
        <v>1528.3663696901995</v>
      </c>
    </row>
    <row r="180" spans="3:12" x14ac:dyDescent="0.25">
      <c r="C180" s="3" t="s">
        <v>5</v>
      </c>
      <c r="D180" s="9">
        <v>45162</v>
      </c>
      <c r="E180" s="7">
        <v>393</v>
      </c>
      <c r="F180" s="11">
        <f t="shared" si="10"/>
        <v>-0.96954318726953514</v>
      </c>
      <c r="G180" s="11" t="str">
        <f t="shared" si="11"/>
        <v>No</v>
      </c>
      <c r="H180" s="11">
        <f t="shared" si="12"/>
        <v>2272.2666666666669</v>
      </c>
      <c r="I180" s="11" cm="1">
        <f t="array" ref="I180">_xlfn.STDEV.P(_xlfn._xlws.FILTER($E$7:$E$229,$C$7:$C$229=C180))</f>
        <v>1107.5620353832205</v>
      </c>
      <c r="J180" s="11">
        <f t="shared" si="13"/>
        <v>-1.6967597359153195</v>
      </c>
      <c r="K180" s="11" t="str">
        <f t="shared" si="14"/>
        <v>No</v>
      </c>
      <c r="L180" s="11">
        <f t="array" ref="L180">_xlfn.STDEV.P(IF($C$7:$C$229=C180,$E$7:$E$229))</f>
        <v>1107.5620353832205</v>
      </c>
    </row>
    <row r="181" spans="3:12" x14ac:dyDescent="0.25">
      <c r="C181" s="3" t="s">
        <v>20</v>
      </c>
      <c r="D181" s="9">
        <v>45162</v>
      </c>
      <c r="E181" s="7">
        <v>8995</v>
      </c>
      <c r="F181" s="11">
        <f t="shared" si="10"/>
        <v>2.0223527311485285</v>
      </c>
      <c r="G181" s="11" t="str">
        <f t="shared" si="11"/>
        <v>No</v>
      </c>
      <c r="H181" s="11">
        <f t="shared" si="12"/>
        <v>7666.25</v>
      </c>
      <c r="I181" s="11" cm="1">
        <f t="array" ref="I181">_xlfn.STDEV.P(_xlfn._xlws.FILTER($E$7:$E$229,$C$7:$C$229=C181))</f>
        <v>3189.3846095289291</v>
      </c>
      <c r="J181" s="11">
        <f t="shared" si="13"/>
        <v>0.41661642061922904</v>
      </c>
      <c r="K181" s="11" t="str">
        <f t="shared" si="14"/>
        <v>No</v>
      </c>
      <c r="L181" s="11">
        <f t="array" ref="L181">_xlfn.STDEV.P(IF($C$7:$C$229=C181,$E$7:$E$229))</f>
        <v>3189.3846095289291</v>
      </c>
    </row>
    <row r="182" spans="3:12" x14ac:dyDescent="0.25">
      <c r="C182" s="3" t="s">
        <v>24</v>
      </c>
      <c r="D182" s="9">
        <v>45162</v>
      </c>
      <c r="E182" s="7">
        <v>1001</v>
      </c>
      <c r="F182" s="11">
        <f t="shared" si="10"/>
        <v>-0.75807228301492202</v>
      </c>
      <c r="G182" s="11" t="str">
        <f t="shared" si="11"/>
        <v>No</v>
      </c>
      <c r="H182" s="11">
        <f t="shared" si="12"/>
        <v>2881.4</v>
      </c>
      <c r="I182" s="11" cm="1">
        <f t="array" ref="I182">_xlfn.STDEV.P(_xlfn._xlws.FILTER($E$7:$E$229,$C$7:$C$229=C182))</f>
        <v>2458.4561497004579</v>
      </c>
      <c r="J182" s="11">
        <f t="shared" si="13"/>
        <v>-0.76487026226972199</v>
      </c>
      <c r="K182" s="11" t="str">
        <f t="shared" si="14"/>
        <v>No</v>
      </c>
      <c r="L182" s="11">
        <f t="array" ref="L182">_xlfn.STDEV.P(IF($C$7:$C$229=C182,$E$7:$E$229))</f>
        <v>2458.4561497004579</v>
      </c>
    </row>
    <row r="183" spans="3:12" x14ac:dyDescent="0.25">
      <c r="C183" s="3" t="s">
        <v>17</v>
      </c>
      <c r="D183" s="9">
        <v>45162</v>
      </c>
      <c r="E183" s="7">
        <v>1749</v>
      </c>
      <c r="F183" s="11">
        <f t="shared" si="10"/>
        <v>-0.49790742054378601</v>
      </c>
      <c r="G183" s="11" t="str">
        <f t="shared" si="11"/>
        <v>No</v>
      </c>
      <c r="H183" s="11">
        <f t="shared" si="12"/>
        <v>2993.2222222222222</v>
      </c>
      <c r="I183" s="11" cm="1">
        <f t="array" ref="I183">_xlfn.STDEV.P(_xlfn._xlws.FILTER($E$7:$E$229,$C$7:$C$229=C183))</f>
        <v>2152.7507353140218</v>
      </c>
      <c r="J183" s="11">
        <f t="shared" si="13"/>
        <v>-0.57796855056734076</v>
      </c>
      <c r="K183" s="11" t="str">
        <f t="shared" si="14"/>
        <v>No</v>
      </c>
      <c r="L183" s="11">
        <f t="array" ref="L183">_xlfn.STDEV.P(IF($C$7:$C$229=C183,$E$7:$E$229))</f>
        <v>2152.7507353140218</v>
      </c>
    </row>
    <row r="184" spans="3:12" x14ac:dyDescent="0.25">
      <c r="C184" s="3" t="s">
        <v>4</v>
      </c>
      <c r="D184" s="9">
        <v>45162</v>
      </c>
      <c r="E184" s="7">
        <v>4151</v>
      </c>
      <c r="F184" s="11">
        <f t="shared" si="10"/>
        <v>0.33754177685684039</v>
      </c>
      <c r="G184" s="11" t="str">
        <f t="shared" si="11"/>
        <v>No</v>
      </c>
      <c r="H184" s="11">
        <f t="shared" si="12"/>
        <v>3431.2307692307691</v>
      </c>
      <c r="I184" s="11" cm="1">
        <f t="array" ref="I184">_xlfn.STDEV.P(_xlfn._xlws.FILTER($E$7:$E$229,$C$7:$C$229=C184))</f>
        <v>1767.6265770734303</v>
      </c>
      <c r="J184" s="11">
        <f t="shared" si="13"/>
        <v>0.40719529798025345</v>
      </c>
      <c r="K184" s="11" t="str">
        <f t="shared" si="14"/>
        <v>No</v>
      </c>
      <c r="L184" s="11">
        <f t="array" ref="L184">_xlfn.STDEV.P(IF($C$7:$C$229=C184,$E$7:$E$229))</f>
        <v>1767.6265770734303</v>
      </c>
    </row>
    <row r="185" spans="3:12" x14ac:dyDescent="0.25">
      <c r="C185" s="3" t="s">
        <v>21</v>
      </c>
      <c r="D185" s="9">
        <v>45162</v>
      </c>
      <c r="E185" s="7">
        <v>4597</v>
      </c>
      <c r="F185" s="11">
        <f t="shared" si="10"/>
        <v>0.49266681517519151</v>
      </c>
      <c r="G185" s="11" t="str">
        <f t="shared" si="11"/>
        <v>No</v>
      </c>
      <c r="H185" s="11">
        <f t="shared" si="12"/>
        <v>5830</v>
      </c>
      <c r="I185" s="11" cm="1">
        <f t="array" ref="I185">_xlfn.STDEV.P(_xlfn._xlws.FILTER($E$7:$E$229,$C$7:$C$229=C185))</f>
        <v>4977.4810350764228</v>
      </c>
      <c r="J185" s="11">
        <f t="shared" si="13"/>
        <v>-0.24771566005194612</v>
      </c>
      <c r="K185" s="11" t="str">
        <f t="shared" si="14"/>
        <v>No</v>
      </c>
      <c r="L185" s="11">
        <f t="array" ref="L185">_xlfn.STDEV.P(IF($C$7:$C$229=C185,$E$7:$E$229))</f>
        <v>4977.4810350764228</v>
      </c>
    </row>
    <row r="186" spans="3:12" x14ac:dyDescent="0.25">
      <c r="C186" s="3" t="s">
        <v>11</v>
      </c>
      <c r="D186" s="9">
        <v>45163</v>
      </c>
      <c r="E186" s="7">
        <v>7828</v>
      </c>
      <c r="F186" s="11">
        <f t="shared" si="10"/>
        <v>1.616453808015085</v>
      </c>
      <c r="G186" s="11" t="str">
        <f t="shared" si="11"/>
        <v>No</v>
      </c>
      <c r="H186" s="11">
        <f t="shared" si="12"/>
        <v>3233.2</v>
      </c>
      <c r="I186" s="11" cm="1">
        <f t="array" ref="I186">_xlfn.STDEV.P(_xlfn._xlws.FILTER($E$7:$E$229,$C$7:$C$229=C186))</f>
        <v>1528.3663696901995</v>
      </c>
      <c r="J186" s="11">
        <f t="shared" si="13"/>
        <v>3.00634722872852</v>
      </c>
      <c r="K186" s="11" t="str">
        <f t="shared" si="14"/>
        <v>Yes</v>
      </c>
      <c r="L186" s="11">
        <f t="array" ref="L186">_xlfn.STDEV.P(IF($C$7:$C$229=C186,$E$7:$E$229))</f>
        <v>1528.3663696901995</v>
      </c>
    </row>
    <row r="187" spans="3:12" x14ac:dyDescent="0.25">
      <c r="C187" s="3" t="s">
        <v>6</v>
      </c>
      <c r="D187" s="9">
        <v>45163</v>
      </c>
      <c r="E187" s="7">
        <v>288</v>
      </c>
      <c r="F187" s="11">
        <f t="shared" si="10"/>
        <v>-1.0060636559319271</v>
      </c>
      <c r="G187" s="11" t="str">
        <f t="shared" si="11"/>
        <v>No</v>
      </c>
      <c r="H187" s="11">
        <f t="shared" si="12"/>
        <v>2821</v>
      </c>
      <c r="I187" s="11" cm="1">
        <f t="array" ref="I187">_xlfn.STDEV.P(_xlfn._xlws.FILTER($E$7:$E$229,$C$7:$C$229=C187))</f>
        <v>1953.5815128304032</v>
      </c>
      <c r="J187" s="11">
        <f t="shared" si="13"/>
        <v>-1.296592941407456</v>
      </c>
      <c r="K187" s="11" t="str">
        <f t="shared" si="14"/>
        <v>No</v>
      </c>
      <c r="L187" s="11">
        <f t="array" ref="L187">_xlfn.STDEV.P(IF($C$7:$C$229=C187,$E$7:$E$229))</f>
        <v>1953.5815128304032</v>
      </c>
    </row>
    <row r="188" spans="3:12" x14ac:dyDescent="0.25">
      <c r="C188" s="3" t="s">
        <v>18</v>
      </c>
      <c r="D188" s="9">
        <v>45163</v>
      </c>
      <c r="E188" s="7">
        <v>8884</v>
      </c>
      <c r="F188" s="11">
        <f t="shared" si="10"/>
        <v>1.9837453785625712</v>
      </c>
      <c r="G188" s="11" t="str">
        <f t="shared" si="11"/>
        <v>No</v>
      </c>
      <c r="H188" s="11">
        <f t="shared" si="12"/>
        <v>4742.1111111111113</v>
      </c>
      <c r="I188" s="11" cm="1">
        <f t="array" ref="I188">_xlfn.STDEV.P(_xlfn._xlws.FILTER($E$7:$E$229,$C$7:$C$229=C188))</f>
        <v>3593.1069330175474</v>
      </c>
      <c r="J188" s="11">
        <f t="shared" si="13"/>
        <v>1.1527318741417099</v>
      </c>
      <c r="K188" s="11" t="str">
        <f t="shared" si="14"/>
        <v>No</v>
      </c>
      <c r="L188" s="11">
        <f t="array" ref="L188">_xlfn.STDEV.P(IF($C$7:$C$229=C188,$E$7:$E$229))</f>
        <v>3593.1069330175474</v>
      </c>
    </row>
    <row r="189" spans="3:12" x14ac:dyDescent="0.25">
      <c r="C189" s="3" t="s">
        <v>24</v>
      </c>
      <c r="D189" s="9">
        <v>45163</v>
      </c>
      <c r="E189" s="7">
        <v>7321</v>
      </c>
      <c r="F189" s="11">
        <f t="shared" si="10"/>
        <v>1.4401121164738204</v>
      </c>
      <c r="G189" s="11" t="str">
        <f t="shared" si="11"/>
        <v>No</v>
      </c>
      <c r="H189" s="11">
        <f t="shared" si="12"/>
        <v>2881.4</v>
      </c>
      <c r="I189" s="11" cm="1">
        <f t="array" ref="I189">_xlfn.STDEV.P(_xlfn._xlws.FILTER($E$7:$E$229,$C$7:$C$229=C189))</f>
        <v>2458.4561497004579</v>
      </c>
      <c r="J189" s="11">
        <f t="shared" si="13"/>
        <v>1.8058487642909262</v>
      </c>
      <c r="K189" s="11" t="str">
        <f t="shared" si="14"/>
        <v>No</v>
      </c>
      <c r="L189" s="11">
        <f t="array" ref="L189">_xlfn.STDEV.P(IF($C$7:$C$229=C189,$E$7:$E$229))</f>
        <v>2458.4561497004579</v>
      </c>
    </row>
    <row r="190" spans="3:12" x14ac:dyDescent="0.25">
      <c r="C190" s="3" t="s">
        <v>3</v>
      </c>
      <c r="D190" s="9">
        <v>45166</v>
      </c>
      <c r="E190" s="7">
        <v>586</v>
      </c>
      <c r="F190" s="11">
        <f t="shared" si="10"/>
        <v>-0.90241508772818591</v>
      </c>
      <c r="G190" s="11" t="str">
        <f t="shared" si="11"/>
        <v>No</v>
      </c>
      <c r="H190" s="11">
        <f t="shared" si="12"/>
        <v>1907.3636363636363</v>
      </c>
      <c r="I190" s="11" cm="1">
        <f t="array" ref="I190">_xlfn.STDEV.P(_xlfn._xlws.FILTER($E$7:$E$229,$C$7:$C$229=C190))</f>
        <v>1789.0284957701724</v>
      </c>
      <c r="J190" s="11">
        <f t="shared" si="13"/>
        <v>-0.73859283934702924</v>
      </c>
      <c r="K190" s="11" t="str">
        <f t="shared" si="14"/>
        <v>No</v>
      </c>
      <c r="L190" s="11">
        <f t="array" ref="L190">_xlfn.STDEV.P(IF($C$7:$C$229=C190,$E$7:$E$229))</f>
        <v>1789.0284957701724</v>
      </c>
    </row>
    <row r="191" spans="3:12" x14ac:dyDescent="0.25">
      <c r="C191" s="3" t="s">
        <v>15</v>
      </c>
      <c r="D191" s="9">
        <v>45166</v>
      </c>
      <c r="E191" s="7">
        <v>1684</v>
      </c>
      <c r="F191" s="11">
        <f t="shared" si="10"/>
        <v>-0.52051532971574299</v>
      </c>
      <c r="G191" s="11" t="str">
        <f t="shared" si="11"/>
        <v>No</v>
      </c>
      <c r="H191" s="11">
        <f t="shared" si="12"/>
        <v>2350.6363636363635</v>
      </c>
      <c r="I191" s="11" cm="1">
        <f t="array" ref="I191">_xlfn.STDEV.P(_xlfn._xlws.FILTER($E$7:$E$229,$C$7:$C$229=C191))</f>
        <v>1376.1198595211811</v>
      </c>
      <c r="J191" s="11">
        <f t="shared" si="13"/>
        <v>-0.48443190396824787</v>
      </c>
      <c r="K191" s="11" t="str">
        <f t="shared" si="14"/>
        <v>No</v>
      </c>
      <c r="L191" s="11">
        <f t="array" ref="L191">_xlfn.STDEV.P(IF($C$7:$C$229=C191,$E$7:$E$229))</f>
        <v>1376.1198595211811</v>
      </c>
    </row>
    <row r="192" spans="3:12" x14ac:dyDescent="0.25">
      <c r="C192" s="3" t="s">
        <v>19</v>
      </c>
      <c r="D192" s="9">
        <v>45166</v>
      </c>
      <c r="E192" s="7">
        <v>1859</v>
      </c>
      <c r="F192" s="11">
        <f t="shared" si="10"/>
        <v>-0.45964788194508954</v>
      </c>
      <c r="G192" s="11" t="str">
        <f t="shared" si="11"/>
        <v>No</v>
      </c>
      <c r="H192" s="11">
        <f t="shared" si="12"/>
        <v>2891.3571428571427</v>
      </c>
      <c r="I192" s="11" cm="1">
        <f t="array" ref="I192">_xlfn.STDEV.P(_xlfn._xlws.FILTER($E$7:$E$229,$C$7:$C$229=C192))</f>
        <v>2696.5477031393534</v>
      </c>
      <c r="J192" s="11">
        <f t="shared" si="13"/>
        <v>-0.3828440126074017</v>
      </c>
      <c r="K192" s="11" t="str">
        <f t="shared" si="14"/>
        <v>No</v>
      </c>
      <c r="L192" s="11">
        <f t="array" ref="L192">_xlfn.STDEV.P(IF($C$7:$C$229=C192,$E$7:$E$229))</f>
        <v>2696.5477031393534</v>
      </c>
    </row>
    <row r="193" spans="3:12" x14ac:dyDescent="0.25">
      <c r="C193" s="3" t="s">
        <v>17</v>
      </c>
      <c r="D193" s="9">
        <v>45166</v>
      </c>
      <c r="E193" s="7">
        <v>1703</v>
      </c>
      <c r="F193" s="11">
        <f t="shared" si="10"/>
        <v>-0.5139068639577864</v>
      </c>
      <c r="G193" s="11" t="str">
        <f t="shared" si="11"/>
        <v>No</v>
      </c>
      <c r="H193" s="11">
        <f t="shared" si="12"/>
        <v>2993.2222222222222</v>
      </c>
      <c r="I193" s="11" cm="1">
        <f t="array" ref="I193">_xlfn.STDEV.P(_xlfn._xlws.FILTER($E$7:$E$229,$C$7:$C$229=C193))</f>
        <v>2152.7507353140218</v>
      </c>
      <c r="J193" s="11">
        <f t="shared" si="13"/>
        <v>-0.59933656092051801</v>
      </c>
      <c r="K193" s="11" t="str">
        <f t="shared" si="14"/>
        <v>No</v>
      </c>
      <c r="L193" s="11">
        <f t="array" ref="L193">_xlfn.STDEV.P(IF($C$7:$C$229=C193,$E$7:$E$229))</f>
        <v>2152.7507353140218</v>
      </c>
    </row>
    <row r="194" spans="3:12" x14ac:dyDescent="0.25">
      <c r="C194" s="3" t="s">
        <v>10</v>
      </c>
      <c r="D194" s="9">
        <v>45166</v>
      </c>
      <c r="E194" s="7">
        <v>1266</v>
      </c>
      <c r="F194" s="11">
        <f t="shared" si="10"/>
        <v>-0.66590157639078962</v>
      </c>
      <c r="G194" s="11" t="str">
        <f t="shared" si="11"/>
        <v>No</v>
      </c>
      <c r="H194" s="11">
        <f t="shared" si="12"/>
        <v>2962.3846153846152</v>
      </c>
      <c r="I194" s="11" cm="1">
        <f t="array" ref="I194">_xlfn.STDEV.P(_xlfn._xlws.FILTER($E$7:$E$229,$C$7:$C$229=C194))</f>
        <v>2237.9254658126006</v>
      </c>
      <c r="J194" s="11">
        <f t="shared" si="13"/>
        <v>-0.75801658334883393</v>
      </c>
      <c r="K194" s="11" t="str">
        <f t="shared" si="14"/>
        <v>No</v>
      </c>
      <c r="L194" s="11">
        <f t="array" ref="L194">_xlfn.STDEV.P(IF($C$7:$C$229=C194,$E$7:$E$229))</f>
        <v>2237.9254658126006</v>
      </c>
    </row>
    <row r="195" spans="3:12" x14ac:dyDescent="0.25">
      <c r="C195" s="3" t="s">
        <v>16</v>
      </c>
      <c r="D195" s="9">
        <v>45167</v>
      </c>
      <c r="E195" s="7">
        <v>4221</v>
      </c>
      <c r="F195" s="11">
        <f t="shared" si="10"/>
        <v>0.36188875596510178</v>
      </c>
      <c r="G195" s="11" t="str">
        <f t="shared" si="11"/>
        <v>No</v>
      </c>
      <c r="H195" s="11">
        <f t="shared" si="12"/>
        <v>2130.3076923076924</v>
      </c>
      <c r="I195" s="11" cm="1">
        <f t="array" ref="I195">_xlfn.STDEV.P(_xlfn._xlws.FILTER($E$7:$E$229,$C$7:$C$229=C195))</f>
        <v>1844.0647571065304</v>
      </c>
      <c r="J195" s="11">
        <f t="shared" si="13"/>
        <v>1.1337412634970334</v>
      </c>
      <c r="K195" s="11" t="str">
        <f t="shared" si="14"/>
        <v>No</v>
      </c>
      <c r="L195" s="11">
        <f t="array" ref="L195">_xlfn.STDEV.P(IF($C$7:$C$229=C195,$E$7:$E$229))</f>
        <v>1844.0647571065304</v>
      </c>
    </row>
    <row r="196" spans="3:12" x14ac:dyDescent="0.25">
      <c r="C196" s="3" t="s">
        <v>22</v>
      </c>
      <c r="D196" s="9">
        <v>45167</v>
      </c>
      <c r="E196" s="7">
        <v>5054</v>
      </c>
      <c r="F196" s="11">
        <f t="shared" si="10"/>
        <v>0.65161780735341224</v>
      </c>
      <c r="G196" s="11" t="str">
        <f t="shared" si="11"/>
        <v>No</v>
      </c>
      <c r="H196" s="11">
        <f t="shared" si="12"/>
        <v>4249</v>
      </c>
      <c r="I196" s="11" cm="1">
        <f t="array" ref="I196">_xlfn.STDEV.P(_xlfn._xlws.FILTER($E$7:$E$229,$C$7:$C$229=C196))</f>
        <v>1547.8288019028462</v>
      </c>
      <c r="J196" s="11">
        <f t="shared" si="13"/>
        <v>0.52008335741676426</v>
      </c>
      <c r="K196" s="11" t="str">
        <f t="shared" si="14"/>
        <v>No</v>
      </c>
      <c r="L196" s="11">
        <f t="array" ref="L196">_xlfn.STDEV.P(IF($C$7:$C$229=C196,$E$7:$E$229))</f>
        <v>1547.8288019028462</v>
      </c>
    </row>
    <row r="197" spans="3:12" x14ac:dyDescent="0.25">
      <c r="C197" s="3" t="s">
        <v>4</v>
      </c>
      <c r="D197" s="9">
        <v>45167</v>
      </c>
      <c r="E197" s="7">
        <v>867</v>
      </c>
      <c r="F197" s="11">
        <f t="shared" si="10"/>
        <v>-0.80467935730787943</v>
      </c>
      <c r="G197" s="11" t="str">
        <f t="shared" si="11"/>
        <v>No</v>
      </c>
      <c r="H197" s="11">
        <f t="shared" si="12"/>
        <v>3431.2307692307691</v>
      </c>
      <c r="I197" s="11" cm="1">
        <f t="array" ref="I197">_xlfn.STDEV.P(_xlfn._xlws.FILTER($E$7:$E$229,$C$7:$C$229=C197))</f>
        <v>1767.6265770734303</v>
      </c>
      <c r="J197" s="11">
        <f t="shared" si="13"/>
        <v>-1.4506631674865604</v>
      </c>
      <c r="K197" s="11" t="str">
        <f t="shared" si="14"/>
        <v>No</v>
      </c>
      <c r="L197" s="11">
        <f t="array" ref="L197">_xlfn.STDEV.P(IF($C$7:$C$229=C197,$E$7:$E$229))</f>
        <v>1767.6265770734303</v>
      </c>
    </row>
    <row r="198" spans="3:12" x14ac:dyDescent="0.25">
      <c r="C198" s="3" t="s">
        <v>23</v>
      </c>
      <c r="D198" s="9">
        <v>45167</v>
      </c>
      <c r="E198" s="7">
        <v>100</v>
      </c>
      <c r="F198" s="11">
        <f t="shared" si="10"/>
        <v>-1.0714526855369721</v>
      </c>
      <c r="G198" s="11" t="str">
        <f t="shared" si="11"/>
        <v>No</v>
      </c>
      <c r="H198" s="11">
        <f t="shared" si="12"/>
        <v>1232</v>
      </c>
      <c r="I198" s="11" cm="1">
        <f t="array" ref="I198">_xlfn.STDEV.P(_xlfn._xlws.FILTER($E$7:$E$229,$C$7:$C$229=C198))</f>
        <v>1465.4460754323238</v>
      </c>
      <c r="J198" s="11">
        <f t="shared" si="13"/>
        <v>-0.77246104034639873</v>
      </c>
      <c r="K198" s="11" t="str">
        <f t="shared" si="14"/>
        <v>No</v>
      </c>
      <c r="L198" s="11">
        <f t="array" ref="L198">_xlfn.STDEV.P(IF($C$7:$C$229=C198,$E$7:$E$229))</f>
        <v>1465.4460754323238</v>
      </c>
    </row>
    <row r="199" spans="3:12" x14ac:dyDescent="0.25">
      <c r="C199" s="3" t="s">
        <v>23</v>
      </c>
      <c r="D199" s="9">
        <v>45167</v>
      </c>
      <c r="E199" s="7">
        <v>298</v>
      </c>
      <c r="F199" s="11">
        <f t="shared" si="10"/>
        <v>-1.0025855160593184</v>
      </c>
      <c r="G199" s="11" t="str">
        <f t="shared" si="11"/>
        <v>No</v>
      </c>
      <c r="H199" s="11">
        <f t="shared" si="12"/>
        <v>1232</v>
      </c>
      <c r="I199" s="11" cm="1">
        <f t="array" ref="I199">_xlfn.STDEV.P(_xlfn._xlws.FILTER($E$7:$E$229,$C$7:$C$229=C199))</f>
        <v>1465.4460754323238</v>
      </c>
      <c r="J199" s="11">
        <f t="shared" si="13"/>
        <v>-0.63734859689358347</v>
      </c>
      <c r="K199" s="11" t="str">
        <f t="shared" si="14"/>
        <v>No</v>
      </c>
      <c r="L199" s="11">
        <f t="array" ref="L199">_xlfn.STDEV.P(IF($C$7:$C$229=C199,$E$7:$E$229))</f>
        <v>1465.4460754323238</v>
      </c>
    </row>
    <row r="200" spans="3:12" x14ac:dyDescent="0.25">
      <c r="C200" s="3" t="s">
        <v>5</v>
      </c>
      <c r="D200" s="9">
        <v>45167</v>
      </c>
      <c r="E200" s="7">
        <v>2648</v>
      </c>
      <c r="F200" s="11">
        <f t="shared" ref="F200:F229" si="15">(E200-$O$4)/$O$5</f>
        <v>-0.18522264599625765</v>
      </c>
      <c r="G200" s="11" t="str">
        <f t="shared" ref="G200:G229" si="16">IF(ABS(F200)&gt;3,"Yes","No")</f>
        <v>No</v>
      </c>
      <c r="H200" s="11">
        <f t="shared" ref="H200:H229" si="17">AVERAGEIFS($E$7:$E$229,$C$7:$C$229,C200)</f>
        <v>2272.2666666666669</v>
      </c>
      <c r="I200" s="11" cm="1">
        <f t="array" ref="I200">_xlfn.STDEV.P(_xlfn._xlws.FILTER($E$7:$E$229,$C$7:$C$229=C200))</f>
        <v>1107.5620353832205</v>
      </c>
      <c r="J200" s="11">
        <f t="shared" ref="J200:J229" si="18">(E200-H200)/I200</f>
        <v>0.33924360110747931</v>
      </c>
      <c r="K200" s="11" t="str">
        <f t="shared" ref="K200:K229" si="19">IF(ABS(J200)&gt;3,"Yes","No")</f>
        <v>No</v>
      </c>
      <c r="L200" s="11">
        <f t="array" ref="L200">_xlfn.STDEV.P(IF($C$7:$C$229=C200,$E$7:$E$229))</f>
        <v>1107.5620353832205</v>
      </c>
    </row>
    <row r="201" spans="3:12" x14ac:dyDescent="0.25">
      <c r="C201" s="3" t="s">
        <v>21</v>
      </c>
      <c r="D201" s="9">
        <v>45167</v>
      </c>
      <c r="E201" s="7">
        <v>4902</v>
      </c>
      <c r="F201" s="11">
        <f t="shared" si="15"/>
        <v>0.59875008128975893</v>
      </c>
      <c r="G201" s="11" t="str">
        <f t="shared" si="16"/>
        <v>No</v>
      </c>
      <c r="H201" s="11">
        <f t="shared" si="17"/>
        <v>5830</v>
      </c>
      <c r="I201" s="11" cm="1">
        <f t="array" ref="I201">_xlfn.STDEV.P(_xlfn._xlws.FILTER($E$7:$E$229,$C$7:$C$229=C201))</f>
        <v>4977.4810350764228</v>
      </c>
      <c r="J201" s="11">
        <f t="shared" si="18"/>
        <v>-0.18643968574874775</v>
      </c>
      <c r="K201" s="11" t="str">
        <f t="shared" si="19"/>
        <v>No</v>
      </c>
      <c r="L201" s="11">
        <f t="array" ref="L201">_xlfn.STDEV.P(IF($C$7:$C$229=C201,$E$7:$E$229))</f>
        <v>4977.4810350764228</v>
      </c>
    </row>
    <row r="202" spans="3:12" x14ac:dyDescent="0.25">
      <c r="C202" s="3" t="s">
        <v>20</v>
      </c>
      <c r="D202" s="9">
        <v>45167</v>
      </c>
      <c r="E202" s="7">
        <v>6320</v>
      </c>
      <c r="F202" s="11">
        <f t="shared" si="15"/>
        <v>1.0919503152256824</v>
      </c>
      <c r="G202" s="11" t="str">
        <f t="shared" si="16"/>
        <v>No</v>
      </c>
      <c r="H202" s="11">
        <f t="shared" si="17"/>
        <v>7666.25</v>
      </c>
      <c r="I202" s="11" cm="1">
        <f t="array" ref="I202">_xlfn.STDEV.P(_xlfn._xlws.FILTER($E$7:$E$229,$C$7:$C$229=C202))</f>
        <v>3189.3846095289291</v>
      </c>
      <c r="J202" s="11">
        <f t="shared" si="18"/>
        <v>-0.42210337253707403</v>
      </c>
      <c r="K202" s="11" t="str">
        <f t="shared" si="19"/>
        <v>No</v>
      </c>
      <c r="L202" s="11">
        <f t="array" ref="L202">_xlfn.STDEV.P(IF($C$7:$C$229=C202,$E$7:$E$229))</f>
        <v>3189.3846095289291</v>
      </c>
    </row>
    <row r="203" spans="3:12" x14ac:dyDescent="0.25">
      <c r="C203" s="3" t="s">
        <v>23</v>
      </c>
      <c r="D203" s="9">
        <v>45167</v>
      </c>
      <c r="E203" s="7">
        <v>771</v>
      </c>
      <c r="F203" s="11">
        <f t="shared" si="15"/>
        <v>-0.83806950008492365</v>
      </c>
      <c r="G203" s="11" t="str">
        <f t="shared" si="16"/>
        <v>No</v>
      </c>
      <c r="H203" s="11">
        <f t="shared" si="17"/>
        <v>1232</v>
      </c>
      <c r="I203" s="11" cm="1">
        <f t="array" ref="I203">_xlfn.STDEV.P(_xlfn._xlws.FILTER($E$7:$E$229,$C$7:$C$229=C203))</f>
        <v>1465.4460754323238</v>
      </c>
      <c r="J203" s="11">
        <f t="shared" si="18"/>
        <v>-0.3145799819785246</v>
      </c>
      <c r="K203" s="11" t="str">
        <f t="shared" si="19"/>
        <v>No</v>
      </c>
      <c r="L203" s="11">
        <f t="array" ref="L203">_xlfn.STDEV.P(IF($C$7:$C$229=C203,$E$7:$E$229))</f>
        <v>1465.4460754323238</v>
      </c>
    </row>
    <row r="204" spans="3:12" x14ac:dyDescent="0.25">
      <c r="C204" s="3" t="s">
        <v>23</v>
      </c>
      <c r="D204" s="9">
        <v>45167</v>
      </c>
      <c r="E204" s="7">
        <v>2338</v>
      </c>
      <c r="F204" s="11">
        <f t="shared" si="15"/>
        <v>-0.29304498204712953</v>
      </c>
      <c r="G204" s="11" t="str">
        <f t="shared" si="16"/>
        <v>No</v>
      </c>
      <c r="H204" s="11">
        <f t="shared" si="17"/>
        <v>1232</v>
      </c>
      <c r="I204" s="11" cm="1">
        <f t="array" ref="I204">_xlfn.STDEV.P(_xlfn._xlws.FILTER($E$7:$E$229,$C$7:$C$229=C204))</f>
        <v>1465.4460754323238</v>
      </c>
      <c r="J204" s="11">
        <f t="shared" si="18"/>
        <v>0.75471900231724121</v>
      </c>
      <c r="K204" s="11" t="str">
        <f t="shared" si="19"/>
        <v>No</v>
      </c>
      <c r="L204" s="11">
        <f t="array" ref="L204">_xlfn.STDEV.P(IF($C$7:$C$229=C204,$E$7:$E$229))</f>
        <v>1465.4460754323238</v>
      </c>
    </row>
    <row r="205" spans="3:12" x14ac:dyDescent="0.25">
      <c r="C205" s="3" t="s">
        <v>11</v>
      </c>
      <c r="D205" s="9">
        <v>45167</v>
      </c>
      <c r="E205" s="7">
        <v>427</v>
      </c>
      <c r="F205" s="11">
        <f t="shared" si="15"/>
        <v>-0.95771751170266539</v>
      </c>
      <c r="G205" s="11" t="str">
        <f t="shared" si="16"/>
        <v>No</v>
      </c>
      <c r="H205" s="11">
        <f t="shared" si="17"/>
        <v>3233.2</v>
      </c>
      <c r="I205" s="11" cm="1">
        <f t="array" ref="I205">_xlfn.STDEV.P(_xlfn._xlws.FILTER($E$7:$E$229,$C$7:$C$229=C205))</f>
        <v>1528.3663696901995</v>
      </c>
      <c r="J205" s="11">
        <f t="shared" si="18"/>
        <v>-1.836078086806384</v>
      </c>
      <c r="K205" s="11" t="str">
        <f t="shared" si="19"/>
        <v>No</v>
      </c>
      <c r="L205" s="11">
        <f t="array" ref="L205">_xlfn.STDEV.P(IF($C$7:$C$229=C205,$E$7:$E$229))</f>
        <v>1528.3663696901995</v>
      </c>
    </row>
    <row r="206" spans="3:12" x14ac:dyDescent="0.25">
      <c r="C206" s="3" t="s">
        <v>3</v>
      </c>
      <c r="D206" s="9">
        <v>45168</v>
      </c>
      <c r="E206" s="7">
        <v>4732</v>
      </c>
      <c r="F206" s="11">
        <f t="shared" si="15"/>
        <v>0.53962170345540994</v>
      </c>
      <c r="G206" s="11" t="str">
        <f t="shared" si="16"/>
        <v>No</v>
      </c>
      <c r="H206" s="11">
        <f t="shared" si="17"/>
        <v>1907.3636363636363</v>
      </c>
      <c r="I206" s="11" cm="1">
        <f t="array" ref="I206">_xlfn.STDEV.P(_xlfn._xlws.FILTER($E$7:$E$229,$C$7:$C$229=C206))</f>
        <v>1789.0284957701724</v>
      </c>
      <c r="J206" s="11">
        <f t="shared" si="18"/>
        <v>1.5788660551325455</v>
      </c>
      <c r="K206" s="11" t="str">
        <f t="shared" si="19"/>
        <v>No</v>
      </c>
      <c r="L206" s="11">
        <f t="array" ref="L206">_xlfn.STDEV.P(IF($C$7:$C$229=C206,$E$7:$E$229))</f>
        <v>1789.0284957701724</v>
      </c>
    </row>
    <row r="207" spans="3:12" x14ac:dyDescent="0.25">
      <c r="C207" s="3" t="s">
        <v>21</v>
      </c>
      <c r="D207" s="9">
        <v>45168</v>
      </c>
      <c r="E207" s="7">
        <v>4654</v>
      </c>
      <c r="F207" s="11">
        <f t="shared" si="15"/>
        <v>0.51249221244906151</v>
      </c>
      <c r="G207" s="11" t="str">
        <f t="shared" si="16"/>
        <v>No</v>
      </c>
      <c r="H207" s="11">
        <f t="shared" si="17"/>
        <v>5830</v>
      </c>
      <c r="I207" s="11" cm="1">
        <f t="array" ref="I207">_xlfn.STDEV.P(_xlfn._xlws.FILTER($E$7:$E$229,$C$7:$C$229=C207))</f>
        <v>4977.4810350764228</v>
      </c>
      <c r="J207" s="11">
        <f t="shared" si="18"/>
        <v>-0.23626408452643036</v>
      </c>
      <c r="K207" s="11" t="str">
        <f t="shared" si="19"/>
        <v>No</v>
      </c>
      <c r="L207" s="11">
        <f t="array" ref="L207">_xlfn.STDEV.P(IF($C$7:$C$229=C207,$E$7:$E$229))</f>
        <v>4977.4810350764228</v>
      </c>
    </row>
    <row r="208" spans="3:12" x14ac:dyDescent="0.25">
      <c r="C208" s="3" t="s">
        <v>16</v>
      </c>
      <c r="D208" s="9">
        <v>45168</v>
      </c>
      <c r="E208" s="7">
        <v>7116</v>
      </c>
      <c r="F208" s="11">
        <f t="shared" si="15"/>
        <v>1.3688102490853404</v>
      </c>
      <c r="G208" s="11" t="str">
        <f t="shared" si="16"/>
        <v>No</v>
      </c>
      <c r="H208" s="11">
        <f t="shared" si="17"/>
        <v>2130.3076923076924</v>
      </c>
      <c r="I208" s="11" cm="1">
        <f t="array" ref="I208">_xlfn.STDEV.P(_xlfn._xlws.FILTER($E$7:$E$229,$C$7:$C$229=C208))</f>
        <v>1844.0647571065304</v>
      </c>
      <c r="J208" s="11">
        <f t="shared" si="18"/>
        <v>2.7036427481620633</v>
      </c>
      <c r="K208" s="11" t="str">
        <f t="shared" si="19"/>
        <v>No</v>
      </c>
      <c r="L208" s="11">
        <f t="array" ref="L208">_xlfn.STDEV.P(IF($C$7:$C$229=C208,$E$7:$E$229))</f>
        <v>1844.0647571065304</v>
      </c>
    </row>
    <row r="209" spans="3:12" x14ac:dyDescent="0.25">
      <c r="C209" s="3" t="s">
        <v>18</v>
      </c>
      <c r="D209" s="9">
        <v>45168</v>
      </c>
      <c r="E209" s="7">
        <v>1506</v>
      </c>
      <c r="F209" s="11">
        <f t="shared" si="15"/>
        <v>-0.58242621944817907</v>
      </c>
      <c r="G209" s="11" t="str">
        <f t="shared" si="16"/>
        <v>No</v>
      </c>
      <c r="H209" s="11">
        <f t="shared" si="17"/>
        <v>4742.1111111111113</v>
      </c>
      <c r="I209" s="11" cm="1">
        <f t="array" ref="I209">_xlfn.STDEV.P(_xlfn._xlws.FILTER($E$7:$E$229,$C$7:$C$229=C209))</f>
        <v>3593.1069330175474</v>
      </c>
      <c r="J209" s="11">
        <f t="shared" si="18"/>
        <v>-0.9006442534103416</v>
      </c>
      <c r="K209" s="11" t="str">
        <f t="shared" si="19"/>
        <v>No</v>
      </c>
      <c r="L209" s="11">
        <f t="array" ref="L209">_xlfn.STDEV.P(IF($C$7:$C$229=C209,$E$7:$E$229))</f>
        <v>3593.1069330175474</v>
      </c>
    </row>
    <row r="210" spans="3:12" x14ac:dyDescent="0.25">
      <c r="C210" s="3" t="s">
        <v>9</v>
      </c>
      <c r="D210" s="9">
        <v>45168</v>
      </c>
      <c r="E210" s="7">
        <v>2386</v>
      </c>
      <c r="F210" s="11">
        <f t="shared" si="15"/>
        <v>-0.27634991065860742</v>
      </c>
      <c r="G210" s="11" t="str">
        <f t="shared" si="16"/>
        <v>No</v>
      </c>
      <c r="H210" s="11">
        <f t="shared" si="17"/>
        <v>4605.5</v>
      </c>
      <c r="I210" s="11" cm="1">
        <f t="array" ref="I210">_xlfn.STDEV.P(_xlfn._xlws.FILTER($E$7:$E$229,$C$7:$C$229=C210))</f>
        <v>5152.1539815886708</v>
      </c>
      <c r="J210" s="11">
        <f t="shared" si="18"/>
        <v>-0.4307906960722504</v>
      </c>
      <c r="K210" s="11" t="str">
        <f t="shared" si="19"/>
        <v>No</v>
      </c>
      <c r="L210" s="11">
        <f t="array" ref="L210">_xlfn.STDEV.P(IF($C$7:$C$229=C210,$E$7:$E$229))</f>
        <v>5152.1539815886708</v>
      </c>
    </row>
    <row r="211" spans="3:12" x14ac:dyDescent="0.25">
      <c r="C211" s="3" t="s">
        <v>4</v>
      </c>
      <c r="D211" s="9">
        <v>45168</v>
      </c>
      <c r="E211" s="7">
        <v>1971</v>
      </c>
      <c r="F211" s="11">
        <f t="shared" si="15"/>
        <v>-0.42069271537187136</v>
      </c>
      <c r="G211" s="11" t="str">
        <f t="shared" si="16"/>
        <v>No</v>
      </c>
      <c r="H211" s="11">
        <f t="shared" si="17"/>
        <v>3431.2307692307691</v>
      </c>
      <c r="I211" s="11" cm="1">
        <f t="array" ref="I211">_xlfn.STDEV.P(_xlfn._xlws.FILTER($E$7:$E$229,$C$7:$C$229=C211))</f>
        <v>1767.6265770734303</v>
      </c>
      <c r="J211" s="11">
        <f t="shared" si="18"/>
        <v>-0.82609686240880076</v>
      </c>
      <c r="K211" s="11" t="str">
        <f t="shared" si="19"/>
        <v>No</v>
      </c>
      <c r="L211" s="11">
        <f t="array" ref="L211">_xlfn.STDEV.P(IF($C$7:$C$229=C211,$E$7:$E$229))</f>
        <v>1767.6265770734303</v>
      </c>
    </row>
    <row r="212" spans="3:12" x14ac:dyDescent="0.25">
      <c r="C212" s="3" t="s">
        <v>12</v>
      </c>
      <c r="D212" s="9">
        <v>45168</v>
      </c>
      <c r="E212" s="7">
        <v>2647</v>
      </c>
      <c r="F212" s="11">
        <f t="shared" si="15"/>
        <v>-0.18557045998351854</v>
      </c>
      <c r="G212" s="11" t="str">
        <f t="shared" si="16"/>
        <v>No</v>
      </c>
      <c r="H212" s="11">
        <f t="shared" si="17"/>
        <v>1303.875</v>
      </c>
      <c r="I212" s="11" cm="1">
        <f t="array" ref="I212">_xlfn.STDEV.P(_xlfn._xlws.FILTER($E$7:$E$229,$C$7:$C$229=C212))</f>
        <v>981.3998213648706</v>
      </c>
      <c r="J212" s="11">
        <f t="shared" si="18"/>
        <v>1.3685808482541439</v>
      </c>
      <c r="K212" s="11" t="str">
        <f t="shared" si="19"/>
        <v>No</v>
      </c>
      <c r="L212" s="11">
        <f t="array" ref="L212">_xlfn.STDEV.P(IF($C$7:$C$229=C212,$E$7:$E$229))</f>
        <v>981.3998213648706</v>
      </c>
    </row>
    <row r="213" spans="3:12" x14ac:dyDescent="0.25">
      <c r="C213" s="3" t="s">
        <v>16</v>
      </c>
      <c r="D213" s="9">
        <v>45168</v>
      </c>
      <c r="E213" s="7">
        <v>1070</v>
      </c>
      <c r="F213" s="11">
        <f t="shared" si="15"/>
        <v>-0.73407311789392149</v>
      </c>
      <c r="G213" s="11" t="str">
        <f t="shared" si="16"/>
        <v>No</v>
      </c>
      <c r="H213" s="11">
        <f t="shared" si="17"/>
        <v>2130.3076923076924</v>
      </c>
      <c r="I213" s="11" cm="1">
        <f t="array" ref="I213">_xlfn.STDEV.P(_xlfn._xlws.FILTER($E$7:$E$229,$C$7:$C$229=C213))</f>
        <v>1844.0647571065304</v>
      </c>
      <c r="J213" s="11">
        <f t="shared" si="18"/>
        <v>-0.57498397939744317</v>
      </c>
      <c r="K213" s="11" t="str">
        <f t="shared" si="19"/>
        <v>No</v>
      </c>
      <c r="L213" s="11">
        <f t="array" ref="L213">_xlfn.STDEV.P(IF($C$7:$C$229=C213,$E$7:$E$229))</f>
        <v>1844.0647571065304</v>
      </c>
    </row>
    <row r="214" spans="3:12" x14ac:dyDescent="0.25">
      <c r="C214" s="3" t="s">
        <v>11</v>
      </c>
      <c r="D214" s="9">
        <v>45168</v>
      </c>
      <c r="E214" s="7">
        <v>2405</v>
      </c>
      <c r="F214" s="11">
        <f t="shared" si="15"/>
        <v>-0.26974144490065077</v>
      </c>
      <c r="G214" s="11" t="str">
        <f t="shared" si="16"/>
        <v>No</v>
      </c>
      <c r="H214" s="11">
        <f t="shared" si="17"/>
        <v>3233.2</v>
      </c>
      <c r="I214" s="11" cm="1">
        <f t="array" ref="I214">_xlfn.STDEV.P(_xlfn._xlws.FILTER($E$7:$E$229,$C$7:$C$229=C214))</f>
        <v>1528.3663696901995</v>
      </c>
      <c r="J214" s="11">
        <f t="shared" si="18"/>
        <v>-0.54188577845237218</v>
      </c>
      <c r="K214" s="11" t="str">
        <f t="shared" si="19"/>
        <v>No</v>
      </c>
      <c r="L214" s="11">
        <f t="array" ref="L214">_xlfn.STDEV.P(IF($C$7:$C$229=C214,$E$7:$E$229))</f>
        <v>1528.3663696901995</v>
      </c>
    </row>
    <row r="215" spans="3:12" x14ac:dyDescent="0.25">
      <c r="C215" s="3" t="s">
        <v>13</v>
      </c>
      <c r="D215" s="9">
        <v>45168</v>
      </c>
      <c r="E215" s="7">
        <v>1025</v>
      </c>
      <c r="F215" s="11">
        <f t="shared" si="15"/>
        <v>-0.74972474732066097</v>
      </c>
      <c r="G215" s="11" t="str">
        <f t="shared" si="16"/>
        <v>No</v>
      </c>
      <c r="H215" s="11">
        <f t="shared" si="17"/>
        <v>2850.909090909091</v>
      </c>
      <c r="I215" s="11" cm="1">
        <f t="array" ref="I215">_xlfn.STDEV.P(_xlfn._xlws.FILTER($E$7:$E$229,$C$7:$C$229=C215))</f>
        <v>1739.0994249660814</v>
      </c>
      <c r="J215" s="11">
        <f t="shared" si="18"/>
        <v>-1.049916447959669</v>
      </c>
      <c r="K215" s="11" t="str">
        <f t="shared" si="19"/>
        <v>No</v>
      </c>
      <c r="L215" s="11">
        <f t="array" ref="L215">_xlfn.STDEV.P(IF($C$7:$C$229=C215,$E$7:$E$229))</f>
        <v>1739.0994249660814</v>
      </c>
    </row>
    <row r="216" spans="3:12" x14ac:dyDescent="0.25">
      <c r="C216" s="3" t="s">
        <v>14</v>
      </c>
      <c r="D216" s="9">
        <v>45168</v>
      </c>
      <c r="E216" s="7">
        <v>4941</v>
      </c>
      <c r="F216" s="11">
        <f t="shared" si="15"/>
        <v>0.61231482679293314</v>
      </c>
      <c r="G216" s="11" t="str">
        <f t="shared" si="16"/>
        <v>No</v>
      </c>
      <c r="H216" s="11">
        <f t="shared" si="17"/>
        <v>3412.8</v>
      </c>
      <c r="I216" s="11" cm="1">
        <f t="array" ref="I216">_xlfn.STDEV.P(_xlfn._xlws.FILTER($E$7:$E$229,$C$7:$C$229=C216))</f>
        <v>1811.1240045894153</v>
      </c>
      <c r="J216" s="11">
        <f t="shared" si="18"/>
        <v>0.84378540405158242</v>
      </c>
      <c r="K216" s="11" t="str">
        <f t="shared" si="19"/>
        <v>No</v>
      </c>
      <c r="L216" s="11">
        <f t="array" ref="L216">_xlfn.STDEV.P(IF($C$7:$C$229=C216,$E$7:$E$229))</f>
        <v>1811.1240045894153</v>
      </c>
    </row>
    <row r="217" spans="3:12" x14ac:dyDescent="0.25">
      <c r="C217" s="3" t="s">
        <v>21</v>
      </c>
      <c r="D217" s="9">
        <v>45168</v>
      </c>
      <c r="E217" s="7">
        <v>4972</v>
      </c>
      <c r="F217" s="11">
        <f t="shared" si="15"/>
        <v>0.62309706039802037</v>
      </c>
      <c r="G217" s="11" t="str">
        <f t="shared" si="16"/>
        <v>No</v>
      </c>
      <c r="H217" s="11">
        <f t="shared" si="17"/>
        <v>5830</v>
      </c>
      <c r="I217" s="11" cm="1">
        <f t="array" ref="I217">_xlfn.STDEV.P(_xlfn._xlws.FILTER($E$7:$E$229,$C$7:$C$229=C217))</f>
        <v>4977.4810350764228</v>
      </c>
      <c r="J217" s="11">
        <f t="shared" si="18"/>
        <v>-0.17237634738407928</v>
      </c>
      <c r="K217" s="11" t="str">
        <f t="shared" si="19"/>
        <v>No</v>
      </c>
      <c r="L217" s="11">
        <f t="array" ref="L217">_xlfn.STDEV.P(IF($C$7:$C$229=C217,$E$7:$E$229))</f>
        <v>4977.4810350764228</v>
      </c>
    </row>
    <row r="218" spans="3:12" x14ac:dyDescent="0.25">
      <c r="C218" s="3" t="s">
        <v>21</v>
      </c>
      <c r="D218" s="9">
        <v>45168</v>
      </c>
      <c r="E218" s="7">
        <v>4591</v>
      </c>
      <c r="F218" s="11">
        <f t="shared" si="15"/>
        <v>0.49057993125162624</v>
      </c>
      <c r="G218" s="11" t="str">
        <f t="shared" si="16"/>
        <v>No</v>
      </c>
      <c r="H218" s="11">
        <f t="shared" si="17"/>
        <v>5830</v>
      </c>
      <c r="I218" s="11" cm="1">
        <f t="array" ref="I218">_xlfn.STDEV.P(_xlfn._xlws.FILTER($E$7:$E$229,$C$7:$C$229=C218))</f>
        <v>4977.4810350764228</v>
      </c>
      <c r="J218" s="11">
        <f t="shared" si="18"/>
        <v>-0.24892108905463198</v>
      </c>
      <c r="K218" s="11" t="str">
        <f t="shared" si="19"/>
        <v>No</v>
      </c>
      <c r="L218" s="11">
        <f t="array" ref="L218">_xlfn.STDEV.P(IF($C$7:$C$229=C218,$E$7:$E$229))</f>
        <v>4977.4810350764228</v>
      </c>
    </row>
    <row r="219" spans="3:12" x14ac:dyDescent="0.25">
      <c r="C219" s="3" t="s">
        <v>6</v>
      </c>
      <c r="D219" s="9">
        <v>45169</v>
      </c>
      <c r="E219" s="7">
        <v>700</v>
      </c>
      <c r="F219" s="11">
        <f t="shared" si="15"/>
        <v>-0.8627642931804459</v>
      </c>
      <c r="G219" s="11" t="str">
        <f t="shared" si="16"/>
        <v>No</v>
      </c>
      <c r="H219" s="11">
        <f t="shared" si="17"/>
        <v>2821</v>
      </c>
      <c r="I219" s="11" cm="1">
        <f t="array" ref="I219">_xlfn.STDEV.P(_xlfn._xlws.FILTER($E$7:$E$229,$C$7:$C$229=C219))</f>
        <v>1953.5815128304032</v>
      </c>
      <c r="J219" s="11">
        <f t="shared" si="18"/>
        <v>-1.0856982347908464</v>
      </c>
      <c r="K219" s="11" t="str">
        <f t="shared" si="19"/>
        <v>No</v>
      </c>
      <c r="L219" s="11">
        <f t="array" ref="L219">_xlfn.STDEV.P(IF($C$7:$C$229=C219,$E$7:$E$229))</f>
        <v>1953.5815128304032</v>
      </c>
    </row>
    <row r="220" spans="3:12" x14ac:dyDescent="0.25">
      <c r="C220" s="3" t="s">
        <v>8</v>
      </c>
      <c r="D220" s="9">
        <v>45169</v>
      </c>
      <c r="E220" s="7">
        <v>3300</v>
      </c>
      <c r="F220" s="11">
        <f t="shared" si="15"/>
        <v>4.1552073697834112E-2</v>
      </c>
      <c r="G220" s="11" t="str">
        <f t="shared" si="16"/>
        <v>No</v>
      </c>
      <c r="H220" s="11">
        <f t="shared" si="17"/>
        <v>2944.3333333333335</v>
      </c>
      <c r="I220" s="11" cm="1">
        <f t="array" ref="I220">_xlfn.STDEV.P(_xlfn._xlws.FILTER($E$7:$E$229,$C$7:$C$229=C220))</f>
        <v>3080.6774507493569</v>
      </c>
      <c r="J220" s="11">
        <f t="shared" si="18"/>
        <v>0.11545079689538827</v>
      </c>
      <c r="K220" s="11" t="str">
        <f t="shared" si="19"/>
        <v>No</v>
      </c>
      <c r="L220" s="11">
        <f t="array" ref="L220">_xlfn.STDEV.P(IF($C$7:$C$229=C220,$E$7:$E$229))</f>
        <v>3080.6774507493569</v>
      </c>
    </row>
    <row r="221" spans="3:12" x14ac:dyDescent="0.25">
      <c r="C221" s="3" t="s">
        <v>3</v>
      </c>
      <c r="D221" s="9">
        <v>45169</v>
      </c>
      <c r="E221" s="7">
        <v>5551</v>
      </c>
      <c r="F221" s="11">
        <f t="shared" si="15"/>
        <v>0.82448135902206809</v>
      </c>
      <c r="G221" s="11" t="str">
        <f t="shared" si="16"/>
        <v>No</v>
      </c>
      <c r="H221" s="11">
        <f t="shared" si="17"/>
        <v>1907.3636363636363</v>
      </c>
      <c r="I221" s="11" cm="1">
        <f t="array" ref="I221">_xlfn.STDEV.P(_xlfn._xlws.FILTER($E$7:$E$229,$C$7:$C$229=C221))</f>
        <v>1789.0284957701724</v>
      </c>
      <c r="J221" s="11">
        <f t="shared" si="18"/>
        <v>2.0366564156194658</v>
      </c>
      <c r="K221" s="11" t="str">
        <f t="shared" si="19"/>
        <v>No</v>
      </c>
      <c r="L221" s="11">
        <f t="array" ref="L221">_xlfn.STDEV.P(IF($C$7:$C$229=C221,$E$7:$E$229))</f>
        <v>1789.0284957701724</v>
      </c>
    </row>
    <row r="222" spans="3:12" x14ac:dyDescent="0.25">
      <c r="C222" s="3" t="s">
        <v>21</v>
      </c>
      <c r="D222" s="9">
        <v>45169</v>
      </c>
      <c r="E222" s="7">
        <v>4348</v>
      </c>
      <c r="F222" s="11">
        <f t="shared" si="15"/>
        <v>0.40606113234723312</v>
      </c>
      <c r="G222" s="11" t="str">
        <f t="shared" si="16"/>
        <v>No</v>
      </c>
      <c r="H222" s="11">
        <f t="shared" si="17"/>
        <v>5830</v>
      </c>
      <c r="I222" s="11" cm="1">
        <f t="array" ref="I222">_xlfn.STDEV.P(_xlfn._xlws.FILTER($E$7:$E$229,$C$7:$C$229=C222))</f>
        <v>4977.4810350764228</v>
      </c>
      <c r="J222" s="11">
        <f t="shared" si="18"/>
        <v>-0.29774096366340969</v>
      </c>
      <c r="K222" s="11" t="str">
        <f t="shared" si="19"/>
        <v>No</v>
      </c>
      <c r="L222" s="11">
        <f t="array" ref="L222">_xlfn.STDEV.P(IF($C$7:$C$229=C222,$E$7:$E$229))</f>
        <v>4977.4810350764228</v>
      </c>
    </row>
    <row r="223" spans="3:12" x14ac:dyDescent="0.25">
      <c r="C223" s="3" t="s">
        <v>16</v>
      </c>
      <c r="D223" s="9">
        <v>45169</v>
      </c>
      <c r="E223" s="7">
        <v>3948</v>
      </c>
      <c r="F223" s="11">
        <f t="shared" si="15"/>
        <v>0.26693553744288234</v>
      </c>
      <c r="G223" s="11" t="str">
        <f t="shared" si="16"/>
        <v>No</v>
      </c>
      <c r="H223" s="11">
        <f t="shared" si="17"/>
        <v>2130.3076923076924</v>
      </c>
      <c r="I223" s="11" cm="1">
        <f t="array" ref="I223">_xlfn.STDEV.P(_xlfn._xlws.FILTER($E$7:$E$229,$C$7:$C$229=C223))</f>
        <v>1844.0647571065304</v>
      </c>
      <c r="J223" s="11">
        <f t="shared" si="18"/>
        <v>0.98569874007266267</v>
      </c>
      <c r="K223" s="11" t="str">
        <f t="shared" si="19"/>
        <v>No</v>
      </c>
      <c r="L223" s="11">
        <f t="array" ref="L223">_xlfn.STDEV.P(IF($C$7:$C$229=C223,$E$7:$E$229))</f>
        <v>1844.0647571065304</v>
      </c>
    </row>
    <row r="224" spans="3:12" x14ac:dyDescent="0.25">
      <c r="C224" s="3" t="s">
        <v>19</v>
      </c>
      <c r="D224" s="9">
        <v>45169</v>
      </c>
      <c r="E224" s="7">
        <v>1232</v>
      </c>
      <c r="F224" s="11">
        <f t="shared" si="15"/>
        <v>-0.67772725195765937</v>
      </c>
      <c r="G224" s="11" t="str">
        <f t="shared" si="16"/>
        <v>No</v>
      </c>
      <c r="H224" s="11">
        <f t="shared" si="17"/>
        <v>2891.3571428571427</v>
      </c>
      <c r="I224" s="11" cm="1">
        <f t="array" ref="I224">_xlfn.STDEV.P(_xlfn._xlws.FILTER($E$7:$E$229,$C$7:$C$229=C224))</f>
        <v>2696.5477031393534</v>
      </c>
      <c r="J224" s="11">
        <f t="shared" si="18"/>
        <v>-0.6153635409176329</v>
      </c>
      <c r="K224" s="11" t="str">
        <f t="shared" si="19"/>
        <v>No</v>
      </c>
      <c r="L224" s="11">
        <f t="array" ref="L224">_xlfn.STDEV.P(IF($C$7:$C$229=C224,$E$7:$E$229))</f>
        <v>2696.5477031393534</v>
      </c>
    </row>
    <row r="225" spans="3:12" x14ac:dyDescent="0.25">
      <c r="C225" s="3" t="s">
        <v>17</v>
      </c>
      <c r="D225" s="9">
        <v>45169</v>
      </c>
      <c r="E225" s="7">
        <v>3391</v>
      </c>
      <c r="F225" s="11">
        <f t="shared" si="15"/>
        <v>7.3203146538573904E-2</v>
      </c>
      <c r="G225" s="11" t="str">
        <f t="shared" si="16"/>
        <v>No</v>
      </c>
      <c r="H225" s="11">
        <f t="shared" si="17"/>
        <v>2993.2222222222222</v>
      </c>
      <c r="I225" s="11" cm="1">
        <f t="array" ref="I225">_xlfn.STDEV.P(_xlfn._xlws.FILTER($E$7:$E$229,$C$7:$C$229=C225))</f>
        <v>2152.7507353140218</v>
      </c>
      <c r="J225" s="11">
        <f t="shared" si="18"/>
        <v>0.18477651464824793</v>
      </c>
      <c r="K225" s="11" t="str">
        <f t="shared" si="19"/>
        <v>No</v>
      </c>
      <c r="L225" s="11">
        <f t="array" ref="L225">_xlfn.STDEV.P(IF($C$7:$C$229=C225,$E$7:$E$229))</f>
        <v>2152.7507353140218</v>
      </c>
    </row>
    <row r="226" spans="3:12" x14ac:dyDescent="0.25">
      <c r="C226" s="3" t="s">
        <v>20</v>
      </c>
      <c r="D226" s="9">
        <v>45169</v>
      </c>
      <c r="E226" s="7">
        <v>12387</v>
      </c>
      <c r="F226" s="11">
        <f t="shared" si="15"/>
        <v>3.2021377759374232</v>
      </c>
      <c r="G226" s="11" t="str">
        <f t="shared" si="16"/>
        <v>Yes</v>
      </c>
      <c r="H226" s="11">
        <f t="shared" si="17"/>
        <v>7666.25</v>
      </c>
      <c r="I226" s="11" cm="1">
        <f t="array" ref="I226">_xlfn.STDEV.P(_xlfn._xlws.FILTER($E$7:$E$229,$C$7:$C$229=C226))</f>
        <v>3189.3846095289291</v>
      </c>
      <c r="J226" s="11">
        <f t="shared" si="18"/>
        <v>1.4801444723523804</v>
      </c>
      <c r="K226" s="11" t="str">
        <f t="shared" si="19"/>
        <v>No</v>
      </c>
      <c r="L226" s="11">
        <f t="array" ref="L226">_xlfn.STDEV.P(IF($C$7:$C$229=C226,$E$7:$E$229))</f>
        <v>3189.3846095289291</v>
      </c>
    </row>
    <row r="227" spans="3:12" x14ac:dyDescent="0.25">
      <c r="C227" s="3" t="s">
        <v>24</v>
      </c>
      <c r="D227" s="9">
        <v>45169</v>
      </c>
      <c r="E227" s="7">
        <v>3374</v>
      </c>
      <c r="F227" s="11">
        <f t="shared" si="15"/>
        <v>6.7290308755139E-2</v>
      </c>
      <c r="G227" s="11" t="str">
        <f t="shared" si="16"/>
        <v>No</v>
      </c>
      <c r="H227" s="11">
        <f t="shared" si="17"/>
        <v>2881.4</v>
      </c>
      <c r="I227" s="11" cm="1">
        <f t="array" ref="I227">_xlfn.STDEV.P(_xlfn._xlws.FILTER($E$7:$E$229,$C$7:$C$229=C227))</f>
        <v>2458.4561497004579</v>
      </c>
      <c r="J227" s="11">
        <f t="shared" si="18"/>
        <v>0.20036965070945806</v>
      </c>
      <c r="K227" s="11" t="str">
        <f t="shared" si="19"/>
        <v>No</v>
      </c>
      <c r="L227" s="11">
        <f t="array" ref="L227">_xlfn.STDEV.P(IF($C$7:$C$229=C227,$E$7:$E$229))</f>
        <v>2458.4561497004579</v>
      </c>
    </row>
    <row r="228" spans="3:12" x14ac:dyDescent="0.25">
      <c r="C228" s="3" t="s">
        <v>16</v>
      </c>
      <c r="D228" s="9">
        <v>45169</v>
      </c>
      <c r="E228" s="7">
        <v>492</v>
      </c>
      <c r="F228" s="11">
        <f t="shared" si="15"/>
        <v>-0.93510960253070829</v>
      </c>
      <c r="G228" s="11" t="str">
        <f t="shared" si="16"/>
        <v>No</v>
      </c>
      <c r="H228" s="11">
        <f t="shared" si="17"/>
        <v>2130.3076923076924</v>
      </c>
      <c r="I228" s="11" cm="1">
        <f t="array" ref="I228">_xlfn.STDEV.P(_xlfn._xlws.FILTER($E$7:$E$229,$C$7:$C$229=C228))</f>
        <v>1844.0647571065304</v>
      </c>
      <c r="J228" s="11">
        <f t="shared" si="18"/>
        <v>-0.88842199602486549</v>
      </c>
      <c r="K228" s="11" t="str">
        <f t="shared" si="19"/>
        <v>No</v>
      </c>
      <c r="L228" s="11">
        <f t="array" ref="L228">_xlfn.STDEV.P(IF($C$7:$C$229=C228,$E$7:$E$229))</f>
        <v>1844.0647571065304</v>
      </c>
    </row>
    <row r="229" spans="3:12" x14ac:dyDescent="0.25">
      <c r="C229" s="3" t="s">
        <v>6</v>
      </c>
      <c r="D229" s="9">
        <v>45169</v>
      </c>
      <c r="E229" s="7">
        <v>3193</v>
      </c>
      <c r="F229" s="11">
        <f t="shared" si="15"/>
        <v>4.3359770609202762E-3</v>
      </c>
      <c r="G229" s="11" t="str">
        <f t="shared" si="16"/>
        <v>No</v>
      </c>
      <c r="H229" s="11">
        <f t="shared" si="17"/>
        <v>2821</v>
      </c>
      <c r="I229" s="11" cm="1">
        <f t="array" ref="I229">_xlfn.STDEV.P(_xlfn._xlws.FILTER($E$7:$E$229,$C$7:$C$229=C229))</f>
        <v>1953.5815128304032</v>
      </c>
      <c r="J229" s="11">
        <f t="shared" si="18"/>
        <v>0.19041949238198722</v>
      </c>
      <c r="K229" s="11" t="str">
        <f t="shared" si="19"/>
        <v>No</v>
      </c>
      <c r="L229" s="11">
        <f t="array" ref="L229">_xlfn.STDEV.P(IF($C$7:$C$229=C229,$E$7:$E$229))</f>
        <v>1953.5815128304032</v>
      </c>
    </row>
  </sheetData>
  <autoFilter ref="C6:K229" xr:uid="{EE182796-6443-4558-9B87-909B73329DFC}"/>
  <conditionalFormatting sqref="C7:K229">
    <cfRule type="expression" dxfId="1" priority="2">
      <formula>ABS($J7)&gt;3</formula>
    </cfRule>
  </conditionalFormatting>
  <conditionalFormatting sqref="L7:L229">
    <cfRule type="expression" dxfId="0" priority="1">
      <formula>ABS($J7)&gt;3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 there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2021-03-14T20:21:32Z</dcterms:created>
  <dcterms:modified xsi:type="dcterms:W3CDTF">2023-12-04T20:14:35Z</dcterms:modified>
</cp:coreProperties>
</file>