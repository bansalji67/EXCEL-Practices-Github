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shboard\Find Outliers\"/>
    </mc:Choice>
  </mc:AlternateContent>
  <xr:revisionPtr revIDLastSave="0" documentId="13_ncr:1_{F9436245-7C41-4AB8-8D81-B6C82DE7CAEC}" xr6:coauthVersionLast="47" xr6:coauthVersionMax="47" xr10:uidLastSave="{00000000-0000-0000-0000-000000000000}"/>
  <bookViews>
    <workbookView xWindow="-103" yWindow="-103" windowWidth="22149" windowHeight="13200" activeTab="1" xr2:uid="{E61DBBCA-C49C-4417-88B9-DB1A41C8DFAB}"/>
  </bookViews>
  <sheets>
    <sheet name="Sheet1" sheetId="1" r:id="rId1"/>
    <sheet name="Outliers" sheetId="2" r:id="rId2"/>
  </sheets>
  <definedNames>
    <definedName name="_xlnm._FilterDatabase" localSheetId="1" hidden="1">Outliers!$A$1:$C$21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  <c r="H4" i="2"/>
  <c r="H6" i="2" l="1"/>
  <c r="H7" i="2" l="1"/>
  <c r="H8" i="2"/>
  <c r="C21" i="2" l="1"/>
  <c r="C16" i="2"/>
  <c r="C17" i="2"/>
  <c r="C14" i="2"/>
  <c r="C18" i="2"/>
  <c r="C19" i="2"/>
  <c r="C20" i="2"/>
  <c r="C15" i="2"/>
  <c r="C12" i="2"/>
  <c r="C7" i="2"/>
  <c r="C6" i="2"/>
  <c r="C5" i="2"/>
  <c r="C4" i="2"/>
  <c r="C3" i="2"/>
  <c r="C10" i="2"/>
  <c r="C9" i="2"/>
  <c r="C8" i="2"/>
  <c r="C11" i="2"/>
  <c r="C13" i="2"/>
  <c r="C2" i="2"/>
</calcChain>
</file>

<file path=xl/sharedStrings.xml><?xml version="1.0" encoding="utf-8"?>
<sst xmlns="http://schemas.openxmlformats.org/spreadsheetml/2006/main" count="53" uniqueCount="31">
  <si>
    <t>Service Call</t>
  </si>
  <si>
    <t>Call1</t>
  </si>
  <si>
    <t>Call2</t>
  </si>
  <si>
    <t>Call3</t>
  </si>
  <si>
    <t>Call4</t>
  </si>
  <si>
    <t>Call5</t>
  </si>
  <si>
    <t>Call6</t>
  </si>
  <si>
    <t>Call7</t>
  </si>
  <si>
    <t>Call8</t>
  </si>
  <si>
    <t>Call9</t>
  </si>
  <si>
    <t>Call10</t>
  </si>
  <si>
    <t>Call11</t>
  </si>
  <si>
    <t>Call12</t>
  </si>
  <si>
    <t>Call13</t>
  </si>
  <si>
    <t>Call14</t>
  </si>
  <si>
    <t>Call15</t>
  </si>
  <si>
    <t>Call16</t>
  </si>
  <si>
    <t>Call17</t>
  </si>
  <si>
    <t>Call18</t>
  </si>
  <si>
    <t>Call19</t>
  </si>
  <si>
    <t>Call20</t>
  </si>
  <si>
    <t>Duration</t>
  </si>
  <si>
    <t>Q1</t>
  </si>
  <si>
    <t>Q3</t>
  </si>
  <si>
    <t>Q3-Q1</t>
  </si>
  <si>
    <t>Lower Bound</t>
  </si>
  <si>
    <t>Upper Bound</t>
  </si>
  <si>
    <t>Q1-(1.5*(Q3-Q1))</t>
  </si>
  <si>
    <t>Q3+(1.5*(Q3-Q1))</t>
  </si>
  <si>
    <t>Outliers</t>
  </si>
  <si>
    <t>https://youtu.be/sbLVk82V2ys?si=30ayLdJzad8KQRNM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</si>
</sst>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theme="0"/>
      </font>
      <fill>
        <patternFill>
          <bgColor rgb="FF00B050"/>
        </patternFill>
      </fill>
    </dxf>
  </dxfs>
  <tableStyles count="1" defaultTableStyle="TableStyleMedium2" defaultPivotStyle="PivotStyleLight16">
    <tableStyle name="Invisible" pivot="0" table="0" count="0" xr9:uid="{F1373F07-44D5-43E9-9DD7-051B172FFE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Duration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Sheet1!$A$2:$A$21</c:f>
              <c:strCache>
                <c:ptCount val="20"/>
                <c:pt idx="0">
                  <c:v>Call1</c:v>
                </c:pt>
                <c:pt idx="1">
                  <c:v>Call2</c:v>
                </c:pt>
                <c:pt idx="2">
                  <c:v>Call3</c:v>
                </c:pt>
                <c:pt idx="3">
                  <c:v>Call4</c:v>
                </c:pt>
                <c:pt idx="4">
                  <c:v>Call5</c:v>
                </c:pt>
                <c:pt idx="5">
                  <c:v>Call6</c:v>
                </c:pt>
                <c:pt idx="6">
                  <c:v>Call7</c:v>
                </c:pt>
                <c:pt idx="7">
                  <c:v>Call8</c:v>
                </c:pt>
                <c:pt idx="8">
                  <c:v>Call9</c:v>
                </c:pt>
                <c:pt idx="9">
                  <c:v>Call10</c:v>
                </c:pt>
                <c:pt idx="10">
                  <c:v>Call11</c:v>
                </c:pt>
                <c:pt idx="11">
                  <c:v>Call12</c:v>
                </c:pt>
                <c:pt idx="12">
                  <c:v>Call13</c:v>
                </c:pt>
                <c:pt idx="13">
                  <c:v>Call14</c:v>
                </c:pt>
                <c:pt idx="14">
                  <c:v>Call15</c:v>
                </c:pt>
                <c:pt idx="15">
                  <c:v>Call16</c:v>
                </c:pt>
                <c:pt idx="16">
                  <c:v>Call17</c:v>
                </c:pt>
                <c:pt idx="17">
                  <c:v>Call18</c:v>
                </c:pt>
                <c:pt idx="18">
                  <c:v>Call19</c:v>
                </c:pt>
                <c:pt idx="19">
                  <c:v>Call20</c:v>
                </c:pt>
              </c:strCache>
            </c:strRef>
          </c:xVal>
          <c:yVal>
            <c:numRef>
              <c:f>Sheet1!$B$2:$B$21</c:f>
              <c:numCache>
                <c:formatCode>General</c:formatCode>
                <c:ptCount val="20"/>
                <c:pt idx="0">
                  <c:v>54</c:v>
                </c:pt>
                <c:pt idx="1">
                  <c:v>59</c:v>
                </c:pt>
                <c:pt idx="2">
                  <c:v>56</c:v>
                </c:pt>
                <c:pt idx="3">
                  <c:v>79</c:v>
                </c:pt>
                <c:pt idx="4">
                  <c:v>57</c:v>
                </c:pt>
                <c:pt idx="5">
                  <c:v>59</c:v>
                </c:pt>
                <c:pt idx="6">
                  <c:v>189</c:v>
                </c:pt>
                <c:pt idx="7">
                  <c:v>78</c:v>
                </c:pt>
                <c:pt idx="8">
                  <c:v>54</c:v>
                </c:pt>
                <c:pt idx="9">
                  <c:v>59</c:v>
                </c:pt>
                <c:pt idx="10">
                  <c:v>55</c:v>
                </c:pt>
                <c:pt idx="11">
                  <c:v>79</c:v>
                </c:pt>
                <c:pt idx="12">
                  <c:v>8</c:v>
                </c:pt>
                <c:pt idx="13">
                  <c:v>59</c:v>
                </c:pt>
                <c:pt idx="14">
                  <c:v>57</c:v>
                </c:pt>
                <c:pt idx="15">
                  <c:v>214</c:v>
                </c:pt>
                <c:pt idx="16">
                  <c:v>7</c:v>
                </c:pt>
                <c:pt idx="17">
                  <c:v>179</c:v>
                </c:pt>
                <c:pt idx="18">
                  <c:v>64</c:v>
                </c:pt>
                <c:pt idx="19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B4-4998-B4B7-6C36A4834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891312"/>
        <c:axId val="355891792"/>
      </c:scatterChart>
      <c:valAx>
        <c:axId val="35589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91792"/>
        <c:crosses val="autoZero"/>
        <c:crossBetween val="midCat"/>
      </c:valAx>
      <c:valAx>
        <c:axId val="35589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9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612321</xdr:colOff>
      <xdr:row>6</xdr:row>
      <xdr:rowOff>163284</xdr:rowOff>
    </xdr:from>
    <xdr:to>
      <xdr:col>13</xdr:col>
      <xdr:colOff>612321</xdr:colOff>
      <xdr:row>21</xdr:row>
      <xdr:rowOff>130627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5BFB2-F759-7566-444A-71E30EBBA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25DB-6073-46C4-89E2-5CA336B096CC}">
  <dimension ref="A1:B21"/>
  <sheetViews>
    <sheetView workbookViewId="0">
      <selection activeCell="P14" sqref="P14"/>
    </sheetView>
  </sheetViews>
  <sheetFormatPr defaultRowHeight="14.6" x14ac:dyDescent="0.4"/>
  <sheetData>
    <row r="1" spans="1:2" x14ac:dyDescent="0.4">
      <c r="A1" t="s">
        <v>0</v>
      </c>
      <c r="B1" t="s">
        <v>21</v>
      </c>
    </row>
    <row r="2" spans="1:2" x14ac:dyDescent="0.4">
      <c r="A2" t="s">
        <v>1</v>
      </c>
      <c r="B2">
        <v>54</v>
      </c>
    </row>
    <row r="3" spans="1:2" x14ac:dyDescent="0.4">
      <c r="A3" t="s">
        <v>2</v>
      </c>
      <c r="B3">
        <v>59</v>
      </c>
    </row>
    <row r="4" spans="1:2" x14ac:dyDescent="0.4">
      <c r="A4" t="s">
        <v>3</v>
      </c>
      <c r="B4">
        <v>56</v>
      </c>
    </row>
    <row r="5" spans="1:2" x14ac:dyDescent="0.4">
      <c r="A5" t="s">
        <v>4</v>
      </c>
      <c r="B5">
        <v>79</v>
      </c>
    </row>
    <row r="6" spans="1:2" x14ac:dyDescent="0.4">
      <c r="A6" t="s">
        <v>5</v>
      </c>
      <c r="B6">
        <v>57</v>
      </c>
    </row>
    <row r="7" spans="1:2" x14ac:dyDescent="0.4">
      <c r="A7" t="s">
        <v>6</v>
      </c>
      <c r="B7">
        <v>59</v>
      </c>
    </row>
    <row r="8" spans="1:2" x14ac:dyDescent="0.4">
      <c r="A8" t="s">
        <v>7</v>
      </c>
      <c r="B8">
        <v>189</v>
      </c>
    </row>
    <row r="9" spans="1:2" x14ac:dyDescent="0.4">
      <c r="A9" t="s">
        <v>8</v>
      </c>
      <c r="B9">
        <v>78</v>
      </c>
    </row>
    <row r="10" spans="1:2" x14ac:dyDescent="0.4">
      <c r="A10" t="s">
        <v>9</v>
      </c>
      <c r="B10">
        <v>54</v>
      </c>
    </row>
    <row r="11" spans="1:2" x14ac:dyDescent="0.4">
      <c r="A11" t="s">
        <v>10</v>
      </c>
      <c r="B11">
        <v>59</v>
      </c>
    </row>
    <row r="12" spans="1:2" x14ac:dyDescent="0.4">
      <c r="A12" t="s">
        <v>11</v>
      </c>
      <c r="B12">
        <v>55</v>
      </c>
    </row>
    <row r="13" spans="1:2" x14ac:dyDescent="0.4">
      <c r="A13" t="s">
        <v>12</v>
      </c>
      <c r="B13">
        <v>79</v>
      </c>
    </row>
    <row r="14" spans="1:2" x14ac:dyDescent="0.4">
      <c r="A14" t="s">
        <v>13</v>
      </c>
      <c r="B14">
        <v>8</v>
      </c>
    </row>
    <row r="15" spans="1:2" x14ac:dyDescent="0.4">
      <c r="A15" t="s">
        <v>14</v>
      </c>
      <c r="B15">
        <v>59</v>
      </c>
    </row>
    <row r="16" spans="1:2" x14ac:dyDescent="0.4">
      <c r="A16" t="s">
        <v>15</v>
      </c>
      <c r="B16">
        <v>57</v>
      </c>
    </row>
    <row r="17" spans="1:2" x14ac:dyDescent="0.4">
      <c r="A17" t="s">
        <v>16</v>
      </c>
      <c r="B17">
        <v>214</v>
      </c>
    </row>
    <row r="18" spans="1:2" x14ac:dyDescent="0.4">
      <c r="A18" t="s">
        <v>17</v>
      </c>
      <c r="B18">
        <v>7</v>
      </c>
    </row>
    <row r="19" spans="1:2" x14ac:dyDescent="0.4">
      <c r="A19" t="s">
        <v>18</v>
      </c>
      <c r="B19">
        <v>179</v>
      </c>
    </row>
    <row r="20" spans="1:2" x14ac:dyDescent="0.4">
      <c r="A20" t="s">
        <v>19</v>
      </c>
      <c r="B20">
        <v>64</v>
      </c>
    </row>
    <row r="21" spans="1:2" x14ac:dyDescent="0.4">
      <c r="A21" t="s">
        <v>20</v>
      </c>
      <c r="B21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599A-58F1-4B62-BD47-B6C8839D5264}">
  <dimension ref="A1:M21"/>
  <sheetViews>
    <sheetView tabSelected="1" workbookViewId="0">
      <selection activeCell="L9" sqref="L9"/>
    </sheetView>
  </sheetViews>
  <sheetFormatPr defaultRowHeight="14.6" x14ac:dyDescent="0.4"/>
  <cols>
    <col min="1" max="1" width="10.07421875" bestFit="1" customWidth="1"/>
    <col min="7" max="7" width="11.84375" bestFit="1" customWidth="1"/>
  </cols>
  <sheetData>
    <row r="1" spans="1:13" x14ac:dyDescent="0.4">
      <c r="A1" t="s">
        <v>0</v>
      </c>
      <c r="B1" t="s">
        <v>21</v>
      </c>
      <c r="C1" t="s">
        <v>29</v>
      </c>
    </row>
    <row r="2" spans="1:13" x14ac:dyDescent="0.4">
      <c r="A2" t="s">
        <v>1</v>
      </c>
      <c r="B2">
        <v>54</v>
      </c>
      <c r="C2" t="b">
        <f>OR(B2&lt;$H$7,B2&gt;$H$8)</f>
        <v>0</v>
      </c>
    </row>
    <row r="3" spans="1:13" x14ac:dyDescent="0.4">
      <c r="A3" t="s">
        <v>2</v>
      </c>
      <c r="B3">
        <v>59</v>
      </c>
      <c r="C3" t="b">
        <f t="shared" ref="C3:C21" si="0">OR(B3&lt;$H$7,B3&gt;$H$8)</f>
        <v>0</v>
      </c>
      <c r="M3" t="s">
        <v>30</v>
      </c>
    </row>
    <row r="4" spans="1:13" x14ac:dyDescent="0.4">
      <c r="A4" t="s">
        <v>3</v>
      </c>
      <c r="B4">
        <v>56</v>
      </c>
      <c r="C4" t="b">
        <f t="shared" si="0"/>
        <v>0</v>
      </c>
      <c r="G4" t="s">
        <v>22</v>
      </c>
      <c r="H4">
        <f>QUARTILE(B2:B21,1)</f>
        <v>54.75</v>
      </c>
    </row>
    <row r="5" spans="1:13" x14ac:dyDescent="0.4">
      <c r="A5" t="s">
        <v>4</v>
      </c>
      <c r="B5">
        <v>79</v>
      </c>
      <c r="C5" t="b">
        <f t="shared" si="0"/>
        <v>0</v>
      </c>
      <c r="G5" t="s">
        <v>23</v>
      </c>
      <c r="H5">
        <f>QUARTILE(B2:B21,3)</f>
        <v>78.25</v>
      </c>
    </row>
    <row r="6" spans="1:13" x14ac:dyDescent="0.4">
      <c r="A6" t="s">
        <v>5</v>
      </c>
      <c r="B6">
        <v>57</v>
      </c>
      <c r="C6" t="b">
        <f t="shared" si="0"/>
        <v>0</v>
      </c>
      <c r="G6" t="s">
        <v>24</v>
      </c>
      <c r="H6">
        <f>H5-H4</f>
        <v>23.5</v>
      </c>
    </row>
    <row r="7" spans="1:13" x14ac:dyDescent="0.4">
      <c r="A7" t="s">
        <v>6</v>
      </c>
      <c r="B7">
        <v>59</v>
      </c>
      <c r="C7" t="b">
        <f t="shared" si="0"/>
        <v>0</v>
      </c>
      <c r="G7" t="s">
        <v>25</v>
      </c>
      <c r="H7">
        <f>H4-(1.5*H6)</f>
        <v>19.5</v>
      </c>
      <c r="J7" t="s">
        <v>27</v>
      </c>
    </row>
    <row r="8" spans="1:13" x14ac:dyDescent="0.4">
      <c r="A8" t="s">
        <v>7</v>
      </c>
      <c r="B8">
        <v>189</v>
      </c>
      <c r="C8" t="b">
        <f t="shared" si="0"/>
        <v>1</v>
      </c>
      <c r="G8" t="s">
        <v>26</v>
      </c>
      <c r="H8">
        <f>H5+(1.5*H6)</f>
        <v>113.5</v>
      </c>
      <c r="J8" t="s">
        <v>28</v>
      </c>
    </row>
    <row r="9" spans="1:13" x14ac:dyDescent="0.4">
      <c r="A9" t="s">
        <v>8</v>
      </c>
      <c r="B9">
        <v>78</v>
      </c>
      <c r="C9" t="b">
        <f t="shared" si="0"/>
        <v>0</v>
      </c>
    </row>
    <row r="10" spans="1:13" x14ac:dyDescent="0.4">
      <c r="A10" t="s">
        <v>9</v>
      </c>
      <c r="B10">
        <v>54</v>
      </c>
      <c r="C10" t="b">
        <f t="shared" si="0"/>
        <v>0</v>
      </c>
    </row>
    <row r="11" spans="1:13" x14ac:dyDescent="0.4">
      <c r="A11" t="s">
        <v>10</v>
      </c>
      <c r="B11">
        <v>59</v>
      </c>
      <c r="C11" t="b">
        <f t="shared" si="0"/>
        <v>0</v>
      </c>
    </row>
    <row r="12" spans="1:13" x14ac:dyDescent="0.4">
      <c r="A12" t="s">
        <v>11</v>
      </c>
      <c r="B12">
        <v>55</v>
      </c>
      <c r="C12" t="b">
        <f t="shared" si="0"/>
        <v>0</v>
      </c>
    </row>
    <row r="13" spans="1:13" x14ac:dyDescent="0.4">
      <c r="A13" t="s">
        <v>12</v>
      </c>
      <c r="B13">
        <v>79</v>
      </c>
      <c r="C13" t="b">
        <f t="shared" si="0"/>
        <v>0</v>
      </c>
    </row>
    <row r="14" spans="1:13" x14ac:dyDescent="0.4">
      <c r="A14" t="s">
        <v>13</v>
      </c>
      <c r="B14">
        <v>8</v>
      </c>
      <c r="C14" t="b">
        <f t="shared" si="0"/>
        <v>1</v>
      </c>
    </row>
    <row r="15" spans="1:13" x14ac:dyDescent="0.4">
      <c r="A15" t="s">
        <v>14</v>
      </c>
      <c r="B15">
        <v>59</v>
      </c>
      <c r="C15" t="b">
        <f t="shared" si="0"/>
        <v>0</v>
      </c>
    </row>
    <row r="16" spans="1:13" x14ac:dyDescent="0.4">
      <c r="A16" t="s">
        <v>15</v>
      </c>
      <c r="B16">
        <v>57</v>
      </c>
      <c r="C16" t="b">
        <f t="shared" si="0"/>
        <v>0</v>
      </c>
    </row>
    <row r="17" spans="1:3" x14ac:dyDescent="0.4">
      <c r="A17" t="s">
        <v>16</v>
      </c>
      <c r="B17">
        <v>214</v>
      </c>
      <c r="C17" t="b">
        <f t="shared" si="0"/>
        <v>1</v>
      </c>
    </row>
    <row r="18" spans="1:3" x14ac:dyDescent="0.4">
      <c r="A18" t="s">
        <v>17</v>
      </c>
      <c r="B18">
        <v>7</v>
      </c>
      <c r="C18" t="b">
        <f t="shared" si="0"/>
        <v>1</v>
      </c>
    </row>
    <row r="19" spans="1:3" x14ac:dyDescent="0.4">
      <c r="A19" t="s">
        <v>18</v>
      </c>
      <c r="B19">
        <v>179</v>
      </c>
      <c r="C19" t="b">
        <f t="shared" si="0"/>
        <v>1</v>
      </c>
    </row>
    <row r="20" spans="1:3" x14ac:dyDescent="0.4">
      <c r="A20" t="s">
        <v>19</v>
      </c>
      <c r="B20">
        <v>64</v>
      </c>
      <c r="C20" t="b">
        <f t="shared" si="0"/>
        <v>0</v>
      </c>
    </row>
    <row r="21" spans="1:3" x14ac:dyDescent="0.4">
      <c r="A21" t="s">
        <v>20</v>
      </c>
      <c r="B21">
        <v>18</v>
      </c>
      <c r="C21" t="b">
        <f t="shared" si="0"/>
        <v>1</v>
      </c>
    </row>
  </sheetData>
  <autoFilter ref="A1:C21" xr:uid="{6918599A-58F1-4B62-BD47-B6C8839D5264}"/>
  <conditionalFormatting sqref="A2:C21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2026-05-29T12:02:14Z</dcterms:created>
  <dcterms:modified xsi:type="dcterms:W3CDTF">2026-05-29T12:25:46Z</dcterms:modified>
</cp:coreProperties>
</file>